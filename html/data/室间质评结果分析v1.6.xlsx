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\Project\归档\2024-10-16 EQA\"/>
    </mc:Choice>
  </mc:AlternateContent>
  <xr:revisionPtr revIDLastSave="0" documentId="13_ncr:1_{0DC55C13-C59E-4969-B85A-3139366E109F}" xr6:coauthVersionLast="47" xr6:coauthVersionMax="47" xr10:uidLastSave="{00000000-0000-0000-0000-000000000000}"/>
  <bookViews>
    <workbookView xWindow="-120" yWindow="-120" windowWidth="29040" windowHeight="15990" firstSheet="2" activeTab="2" xr2:uid="{00000000-000D-0000-FFFF-FFFF00000000}"/>
  </bookViews>
  <sheets>
    <sheet name="专业" sheetId="3" state="hidden" r:id="rId1"/>
    <sheet name="项目" sheetId="2" state="hidden" r:id="rId2"/>
    <sheet name="示例" sheetId="6" r:id="rId3"/>
    <sheet name="项目名称" sheetId="7" r:id="rId4"/>
  </sheets>
  <definedNames>
    <definedName name="_xlnm._FilterDatabase" localSheetId="2" hidden="1">示例!#REF!</definedName>
    <definedName name="_xlnm._FilterDatabase" localSheetId="3" hidden="1">项目名称!#REF!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G7" i="6"/>
  <c r="G8" i="6"/>
  <c r="G9" i="6"/>
  <c r="G6" i="7"/>
  <c r="G7" i="7"/>
  <c r="G8" i="7"/>
  <c r="G9" i="7"/>
  <c r="F9" i="7"/>
  <c r="E9" i="7"/>
  <c r="F8" i="7"/>
  <c r="E8" i="7"/>
  <c r="F7" i="7"/>
  <c r="E7" i="7"/>
  <c r="F6" i="7"/>
  <c r="E6" i="7"/>
  <c r="F5" i="7"/>
  <c r="E17" i="7" s="1" a="1"/>
  <c r="E17" i="7" s="1"/>
  <c r="F17" i="7" s="1"/>
  <c r="E5" i="7"/>
  <c r="G2" i="7" a="1"/>
  <c r="G2" i="7" s="1"/>
  <c r="F2" i="7" a="1"/>
  <c r="F2" i="7" s="1"/>
  <c r="E2" i="7"/>
  <c r="E16" i="7" s="1" a="1"/>
  <c r="E16" i="7" s="1"/>
  <c r="F16" i="7" s="1"/>
  <c r="G5" i="7" l="1"/>
  <c r="E13" i="7" s="1" a="1"/>
  <c r="E13" i="7" s="1"/>
  <c r="F13" i="7" s="1"/>
  <c r="E15" i="7" a="1"/>
  <c r="E15" i="7" s="1"/>
  <c r="F15" i="7" s="1"/>
  <c r="E14" i="7" a="1"/>
  <c r="E14" i="7" s="1"/>
  <c r="F14" i="7" s="1"/>
  <c r="E12" i="7" a="1"/>
  <c r="E12" i="7" s="1"/>
  <c r="F12" i="7" s="1"/>
  <c r="E9" i="6" l="1"/>
  <c r="F9" i="6"/>
  <c r="F5" i="6"/>
  <c r="F6" i="6"/>
  <c r="F7" i="6"/>
  <c r="F8" i="6"/>
  <c r="E5" i="6"/>
  <c r="E6" i="6"/>
  <c r="E7" i="6"/>
  <c r="E8" i="6"/>
  <c r="G2" i="6" a="1"/>
  <c r="G2" i="6" s="1"/>
  <c r="F2" i="6" a="1"/>
  <c r="F2" i="6" s="1"/>
  <c r="E15" i="6" l="1" a="1"/>
  <c r="E15" i="6" s="1"/>
  <c r="F15" i="6" s="1"/>
  <c r="G5" i="6"/>
  <c r="E17" i="6" a="1"/>
  <c r="E17" i="6" s="1"/>
  <c r="F17" i="6" s="1"/>
  <c r="E14" i="6" a="1"/>
  <c r="E14" i="6" s="1"/>
  <c r="F14" i="6" s="1"/>
  <c r="E2" i="6"/>
  <c r="E13" i="6" l="1" a="1"/>
  <c r="E13" i="6" s="1"/>
  <c r="F13" i="6" s="1"/>
  <c r="E16" i="6" a="1"/>
  <c r="E16" i="6" s="1"/>
  <c r="F16" i="6" s="1"/>
  <c r="E12" i="6" a="1"/>
  <c r="E12" i="6" s="1"/>
  <c r="F1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<sst xmlns="http://schemas.openxmlformats.org/spreadsheetml/2006/main" count="1641" uniqueCount="976">
  <si>
    <t>样本编号</t>
    <phoneticPr fontId="1" type="noConversion"/>
  </si>
  <si>
    <t>钾</t>
    <phoneticPr fontId="1" type="noConversion"/>
  </si>
  <si>
    <t>相对偏倚(%)</t>
    <phoneticPr fontId="1" type="noConversion"/>
  </si>
  <si>
    <t>专业编码</t>
  </si>
  <si>
    <t>专业名称</t>
  </si>
  <si>
    <t>编码</t>
  </si>
  <si>
    <t>项目</t>
  </si>
  <si>
    <t>单位</t>
  </si>
  <si>
    <t>备注</t>
  </si>
  <si>
    <t>01</t>
  </si>
  <si>
    <t>常规化学A</t>
  </si>
  <si>
    <t>A</t>
  </si>
  <si>
    <t>钾</t>
  </si>
  <si>
    <t>mmol/L</t>
  </si>
  <si>
    <t>B</t>
  </si>
  <si>
    <t>钠</t>
  </si>
  <si>
    <t>C</t>
  </si>
  <si>
    <t>氯</t>
  </si>
  <si>
    <t>D</t>
  </si>
  <si>
    <t>钙</t>
  </si>
  <si>
    <t>E</t>
  </si>
  <si>
    <t>磷</t>
  </si>
  <si>
    <t>F</t>
  </si>
  <si>
    <t>血糖</t>
  </si>
  <si>
    <t>G</t>
  </si>
  <si>
    <t>尿素</t>
  </si>
  <si>
    <t>H</t>
  </si>
  <si>
    <t>尿酸</t>
  </si>
  <si>
    <t>μmol/L</t>
  </si>
  <si>
    <t>I</t>
  </si>
  <si>
    <t>肌酐</t>
  </si>
  <si>
    <t>J</t>
  </si>
  <si>
    <t>总蛋白</t>
  </si>
  <si>
    <t>g/L</t>
  </si>
  <si>
    <t>K</t>
  </si>
  <si>
    <t>白蛋白</t>
  </si>
  <si>
    <t>L</t>
  </si>
  <si>
    <t>总胆固醇</t>
  </si>
  <si>
    <t>M</t>
  </si>
  <si>
    <t>甘油三酯</t>
  </si>
  <si>
    <t>O</t>
  </si>
  <si>
    <t>总胆红素</t>
  </si>
  <si>
    <t>P</t>
  </si>
  <si>
    <t>丙氨酸氨基转移酶</t>
  </si>
  <si>
    <t>U/L</t>
  </si>
  <si>
    <t>Q</t>
  </si>
  <si>
    <t>天门冬氨酸氨基转移酶</t>
  </si>
  <si>
    <t>R</t>
  </si>
  <si>
    <t>碱性磷酸酶</t>
  </si>
  <si>
    <t>S</t>
  </si>
  <si>
    <t>淀粉酶</t>
  </si>
  <si>
    <t>T</t>
  </si>
  <si>
    <t>肌酸激酶</t>
  </si>
  <si>
    <t>U</t>
  </si>
  <si>
    <t>乳酸脱氢酶</t>
  </si>
  <si>
    <t>AD</t>
  </si>
  <si>
    <t>γ-谷氨酰基转移酶</t>
  </si>
  <si>
    <t>Y</t>
  </si>
  <si>
    <t>镁</t>
  </si>
  <si>
    <t>V</t>
  </si>
  <si>
    <t>直接胆红素</t>
  </si>
  <si>
    <t>W</t>
  </si>
  <si>
    <t>铁</t>
  </si>
  <si>
    <t>X</t>
  </si>
  <si>
    <t>总铁结合力</t>
  </si>
  <si>
    <t>Z</t>
  </si>
  <si>
    <t>锂</t>
  </si>
  <si>
    <t>AA</t>
  </si>
  <si>
    <t>铜</t>
  </si>
  <si>
    <t>AB</t>
  </si>
  <si>
    <t>锌</t>
  </si>
  <si>
    <t>AE</t>
  </si>
  <si>
    <t>α-羟丁酸脱氢酶</t>
  </si>
  <si>
    <t>AF</t>
  </si>
  <si>
    <t>胆碱酯酶</t>
  </si>
  <si>
    <t>AH</t>
  </si>
  <si>
    <t>脂肪酶</t>
  </si>
  <si>
    <t>AK</t>
  </si>
  <si>
    <t>糖化血清蛋白（调查项目）</t>
  </si>
  <si>
    <t>AL</t>
  </si>
  <si>
    <t>02</t>
  </si>
  <si>
    <t>血气和酸碱分析</t>
  </si>
  <si>
    <t>pH</t>
  </si>
  <si>
    <t>pCO2</t>
  </si>
  <si>
    <t>mmHg</t>
  </si>
  <si>
    <t>pO2</t>
  </si>
  <si>
    <t>Na+</t>
  </si>
  <si>
    <t>K+</t>
  </si>
  <si>
    <t>Ca2+</t>
  </si>
  <si>
    <t>Cl-</t>
  </si>
  <si>
    <t>04</t>
  </si>
  <si>
    <t>内分泌</t>
  </si>
  <si>
    <t>游离T3</t>
  </si>
  <si>
    <t>pmol/L</t>
  </si>
  <si>
    <t>总T3</t>
  </si>
  <si>
    <t>nmol/L</t>
  </si>
  <si>
    <t>游离T4</t>
  </si>
  <si>
    <t>总T4</t>
  </si>
  <si>
    <t>TSH</t>
  </si>
  <si>
    <t>mIU/L</t>
  </si>
  <si>
    <t>皮质醇</t>
  </si>
  <si>
    <t>雌二醇</t>
  </si>
  <si>
    <t>FSH</t>
  </si>
  <si>
    <t>IU/L</t>
  </si>
  <si>
    <t>LH</t>
  </si>
  <si>
    <t>孕酮</t>
  </si>
  <si>
    <t>催乳素</t>
  </si>
  <si>
    <t>睾酮</t>
  </si>
  <si>
    <t>C-肽</t>
  </si>
  <si>
    <t>叶酸</t>
  </si>
  <si>
    <t>胰岛素</t>
  </si>
  <si>
    <t>维生素B12</t>
  </si>
  <si>
    <t>25-羟维生素D3</t>
  </si>
  <si>
    <t>总25-羟维生素D</t>
  </si>
  <si>
    <t>甲状腺球蛋白</t>
  </si>
  <si>
    <t>μg/L</t>
  </si>
  <si>
    <t>生长激素</t>
  </si>
  <si>
    <t>甲状旁腺激素</t>
  </si>
  <si>
    <t>促肾上腺皮质激素</t>
  </si>
  <si>
    <t>醛固酮</t>
  </si>
  <si>
    <t>性激素结合球蛋白</t>
  </si>
  <si>
    <t>17-α-羟孕酮</t>
  </si>
  <si>
    <t>硫酸脱氢表雄酮</t>
  </si>
  <si>
    <t>05</t>
  </si>
  <si>
    <t>肿瘤标志物A</t>
  </si>
  <si>
    <t>总PSA</t>
  </si>
  <si>
    <t>ng/mL</t>
  </si>
  <si>
    <t>CEA</t>
  </si>
  <si>
    <t>AFP</t>
  </si>
  <si>
    <t>HCG</t>
  </si>
  <si>
    <t>CA199</t>
  </si>
  <si>
    <t>U/mL</t>
  </si>
  <si>
    <t>CA125</t>
  </si>
  <si>
    <t>CA153</t>
  </si>
  <si>
    <t>β2-微球蛋白</t>
  </si>
  <si>
    <t>μg/mL</t>
  </si>
  <si>
    <t>铁蛋白</t>
  </si>
  <si>
    <t>总β-HCG</t>
  </si>
  <si>
    <t>游离PSA</t>
  </si>
  <si>
    <t>08</t>
  </si>
  <si>
    <t>特殊蛋白</t>
  </si>
  <si>
    <t>IgA</t>
  </si>
  <si>
    <t>IgE</t>
  </si>
  <si>
    <t>KIU/L</t>
  </si>
  <si>
    <t>IgG</t>
  </si>
  <si>
    <t>IgM</t>
  </si>
  <si>
    <t>C3</t>
  </si>
  <si>
    <t>C4</t>
  </si>
  <si>
    <t>CRP</t>
  </si>
  <si>
    <t>mg/L</t>
  </si>
  <si>
    <t>RF</t>
  </si>
  <si>
    <t>KU/L</t>
  </si>
  <si>
    <t>ASO</t>
  </si>
  <si>
    <t>转铁蛋白</t>
  </si>
  <si>
    <t>前白蛋白</t>
  </si>
  <si>
    <t>κ轻链</t>
  </si>
  <si>
    <t>λ轻链</t>
  </si>
  <si>
    <t>结合珠蛋白（HPT）</t>
  </si>
  <si>
    <t>免疫球蛋白G4（IgG4）(调查项目)</t>
  </si>
  <si>
    <t>09</t>
  </si>
  <si>
    <t>糖化血红蛋白</t>
  </si>
  <si>
    <t>HbA1c</t>
  </si>
  <si>
    <t>%</t>
  </si>
  <si>
    <t>10</t>
  </si>
  <si>
    <t>全血细胞计数</t>
  </si>
  <si>
    <t>WBC</t>
  </si>
  <si>
    <t>10(9)/L</t>
  </si>
  <si>
    <t>RBC</t>
  </si>
  <si>
    <t>10(12)/L</t>
  </si>
  <si>
    <t>Hgb</t>
  </si>
  <si>
    <t>Hct</t>
  </si>
  <si>
    <t>Plt</t>
  </si>
  <si>
    <t>MCV</t>
  </si>
  <si>
    <t>fl</t>
  </si>
  <si>
    <t>MCH</t>
  </si>
  <si>
    <t>pg</t>
  </si>
  <si>
    <t>MCHC</t>
  </si>
  <si>
    <t>11</t>
  </si>
  <si>
    <t>凝血试验</t>
  </si>
  <si>
    <t>PT</t>
  </si>
  <si>
    <t>秒</t>
  </si>
  <si>
    <t>INR</t>
  </si>
  <si>
    <t>APTT</t>
  </si>
  <si>
    <t>Fbg</t>
  </si>
  <si>
    <t>TT</t>
  </si>
  <si>
    <t>12</t>
  </si>
  <si>
    <t>尿液化学分析</t>
  </si>
  <si>
    <t>比重</t>
  </si>
  <si>
    <t>蛋白</t>
  </si>
  <si>
    <t>葡萄糖</t>
  </si>
  <si>
    <t>胆红素</t>
  </si>
  <si>
    <t>酮体</t>
  </si>
  <si>
    <t>红细胞</t>
  </si>
  <si>
    <t>个细胞/μl</t>
  </si>
  <si>
    <t>亚硝酸盐</t>
  </si>
  <si>
    <t>尿胆原</t>
  </si>
  <si>
    <t>白细胞</t>
  </si>
  <si>
    <t>个细胞/ul</t>
  </si>
  <si>
    <t>17</t>
  </si>
  <si>
    <t>红细胞沉降率测定Ⅰ</t>
  </si>
  <si>
    <t>血沉</t>
  </si>
  <si>
    <t>mm/h</t>
  </si>
  <si>
    <t>24</t>
  </si>
  <si>
    <t>脂类</t>
  </si>
  <si>
    <t>胆固醇</t>
  </si>
  <si>
    <t>高密度脂蛋白胆固醇</t>
  </si>
  <si>
    <t>低密度脂蛋白胆固醇</t>
  </si>
  <si>
    <t>脂蛋白(a)</t>
  </si>
  <si>
    <t>载脂蛋白 A1</t>
  </si>
  <si>
    <t>载脂蛋白 B</t>
  </si>
  <si>
    <t>25</t>
  </si>
  <si>
    <t>心肌标志物</t>
  </si>
  <si>
    <t>肌酸激酶-MB(μg/L)</t>
  </si>
  <si>
    <t>肌酸激酶-MB(活性)</t>
  </si>
  <si>
    <t>肌红蛋白</t>
  </si>
  <si>
    <t>肌钙蛋白-I（含高敏）</t>
  </si>
  <si>
    <t>肌钙蛋白-T（含高敏）</t>
  </si>
  <si>
    <t>高敏CRP</t>
  </si>
  <si>
    <t>同型半胱氨酸</t>
  </si>
  <si>
    <t>38</t>
  </si>
  <si>
    <t>血铅</t>
  </si>
  <si>
    <t>39</t>
  </si>
  <si>
    <t>便携式血糖检测仪</t>
  </si>
  <si>
    <t>40</t>
  </si>
  <si>
    <t>血液粘度检测</t>
  </si>
  <si>
    <t>切变率为1/S下的粘度</t>
  </si>
  <si>
    <t>mPa.s</t>
  </si>
  <si>
    <t>切变率为50/S下的粘度</t>
  </si>
  <si>
    <t>切变率为200/S下的粘度</t>
  </si>
  <si>
    <t>42</t>
  </si>
  <si>
    <t>脑脊液生化检测</t>
  </si>
  <si>
    <t>氯化物</t>
  </si>
  <si>
    <t>乳酸</t>
  </si>
  <si>
    <t>68</t>
  </si>
  <si>
    <t>尿液定量生化</t>
  </si>
  <si>
    <t>微量白蛋白</t>
  </si>
  <si>
    <t>69</t>
  </si>
  <si>
    <t>脑钠肽 N末端前脑钠肽</t>
  </si>
  <si>
    <t>BNP</t>
  </si>
  <si>
    <t>ng/L</t>
  </si>
  <si>
    <t>NT-pro BNP</t>
  </si>
  <si>
    <t>70</t>
  </si>
  <si>
    <t>网织红细胞计数</t>
  </si>
  <si>
    <t>75</t>
  </si>
  <si>
    <t>全血五元素</t>
  </si>
  <si>
    <t>87</t>
  </si>
  <si>
    <t>半胱氨酸蛋白酶抑制剂C</t>
  </si>
  <si>
    <t>A1</t>
  </si>
  <si>
    <t>D-二聚体检测</t>
  </si>
  <si>
    <t>A101</t>
  </si>
  <si>
    <t>BE</t>
  </si>
  <si>
    <t>血清视黄醇结合蛋白</t>
  </si>
  <si>
    <t>BE01</t>
  </si>
  <si>
    <t>视黄醇结合蛋白(RBP)</t>
  </si>
  <si>
    <t>BK</t>
  </si>
  <si>
    <t>血清降钙素原</t>
  </si>
  <si>
    <t>BK01</t>
  </si>
  <si>
    <t>血清降钙素原（PCT）</t>
  </si>
  <si>
    <t>μg/L(ng/mL)</t>
  </si>
  <si>
    <t>CB</t>
  </si>
  <si>
    <t>肿瘤标志物B</t>
  </si>
  <si>
    <t>CB01</t>
  </si>
  <si>
    <t>CA72-4</t>
  </si>
  <si>
    <t>CB02</t>
  </si>
  <si>
    <t>HE4</t>
  </si>
  <si>
    <t>pmoL/L</t>
  </si>
  <si>
    <t>CB03</t>
  </si>
  <si>
    <t>CYFRA21-1</t>
  </si>
  <si>
    <t>CB04</t>
  </si>
  <si>
    <t>NSE</t>
  </si>
  <si>
    <t>CB05</t>
  </si>
  <si>
    <t>SCCA</t>
  </si>
  <si>
    <t>CB06</t>
  </si>
  <si>
    <t>CA50</t>
  </si>
  <si>
    <t>CB07</t>
  </si>
  <si>
    <t>CA242</t>
  </si>
  <si>
    <t>CD</t>
  </si>
  <si>
    <t>胃蛋白酶原</t>
  </si>
  <si>
    <t>CD01</t>
  </si>
  <si>
    <t>PGⅠ</t>
  </si>
  <si>
    <t>CD02</t>
  </si>
  <si>
    <t>PGⅡ</t>
  </si>
  <si>
    <t>CD03</t>
  </si>
  <si>
    <t>PG I/PG II比率</t>
  </si>
  <si>
    <t>CD04</t>
  </si>
  <si>
    <t>胃泌素17（调查项目）</t>
  </si>
  <si>
    <t>CI</t>
  </si>
  <si>
    <t>抗缪勒管激素</t>
  </si>
  <si>
    <t>CI01</t>
  </si>
  <si>
    <t>血清AMH</t>
  </si>
  <si>
    <t>CJ</t>
  </si>
  <si>
    <t>血清淀粉样蛋白A</t>
  </si>
  <si>
    <t>CJ01</t>
  </si>
  <si>
    <t>SAA</t>
  </si>
  <si>
    <t>DY</t>
  </si>
  <si>
    <t>常规化学B</t>
  </si>
  <si>
    <t>DY01</t>
  </si>
  <si>
    <t>总胆汁酸</t>
  </si>
  <si>
    <t>DY02</t>
  </si>
  <si>
    <t>腺苷脱氨酶</t>
  </si>
  <si>
    <t>DY03</t>
  </si>
  <si>
    <t>超氧化物歧化酶</t>
  </si>
  <si>
    <t>DY04</t>
  </si>
  <si>
    <t>β-羟丁酸</t>
  </si>
  <si>
    <t>DY05</t>
  </si>
  <si>
    <t>碳酸氢根</t>
  </si>
  <si>
    <t>DY06</t>
  </si>
  <si>
    <t>DY07</t>
  </si>
  <si>
    <t>游离脂肪酸</t>
  </si>
  <si>
    <t>GH</t>
  </si>
  <si>
    <t>纤维蛋白（原）降解产物检测</t>
  </si>
  <si>
    <t>GH01</t>
  </si>
  <si>
    <t>纤维蛋白（原）降解产物（FDP）</t>
  </si>
  <si>
    <t>ug/mL</t>
  </si>
  <si>
    <t>GT</t>
  </si>
  <si>
    <t>常规化学C</t>
  </si>
  <si>
    <t>GT01</t>
  </si>
  <si>
    <t>α-L-岩藻糖苷酶（AFU）</t>
  </si>
  <si>
    <t>GT02</t>
  </si>
  <si>
    <t>5'-核苷酸酶（5'-NT）</t>
  </si>
  <si>
    <t>GT03</t>
  </si>
  <si>
    <t>乳酸脱氢酶同工酶-1（LDH1）</t>
  </si>
  <si>
    <t>GT04</t>
  </si>
  <si>
    <t>天门冬氨酸氨基转移酶线粒体同工酶（m-AST）</t>
  </si>
  <si>
    <t>GT05</t>
  </si>
  <si>
    <t>唾液酸（SA）</t>
  </si>
  <si>
    <t>mg/dL</t>
  </si>
  <si>
    <t>A</t>
    <phoneticPr fontId="1" type="noConversion"/>
  </si>
  <si>
    <t>序号</t>
  </si>
  <si>
    <t>常规化学A（原常规化学）</t>
  </si>
  <si>
    <t>血气及酸碱分析</t>
  </si>
  <si>
    <t>03</t>
  </si>
  <si>
    <t>血清治疗药物监测</t>
  </si>
  <si>
    <t>肿瘤标志物A (原肿瘤标志物)</t>
  </si>
  <si>
    <t>06</t>
  </si>
  <si>
    <t>新生儿遗传代谢病筛查-苯丙氨酸、促甲状腺素（血斑）</t>
  </si>
  <si>
    <t>07</t>
  </si>
  <si>
    <t>血站转氨酶</t>
  </si>
  <si>
    <t>全血细胞计数（与临床血液室计划相同，申请一处即可）</t>
  </si>
  <si>
    <t>13</t>
  </si>
  <si>
    <t>血站血红蛋白</t>
  </si>
  <si>
    <t>14</t>
  </si>
  <si>
    <t>干化学</t>
  </si>
  <si>
    <t>15</t>
  </si>
  <si>
    <t>血细胞形态学检查</t>
  </si>
  <si>
    <t>16</t>
  </si>
  <si>
    <t>流式细胞分析-淋巴细胞亚群测定</t>
  </si>
  <si>
    <t>红细胞沉降率测定Ⅰ（适用于魏氏法和改良魏氏法原理的手工法和仪器法）</t>
  </si>
  <si>
    <t>18</t>
  </si>
  <si>
    <t>血型</t>
  </si>
  <si>
    <t>血型（医疗机构也可参加该计划）</t>
  </si>
  <si>
    <t>19</t>
  </si>
  <si>
    <t>中孕期母血清产前筛查</t>
  </si>
  <si>
    <t>20</t>
  </si>
  <si>
    <t>核酸检测（病毒学）</t>
  </si>
  <si>
    <t>21</t>
  </si>
  <si>
    <t>临床免疫学</t>
  </si>
  <si>
    <t>22</t>
  </si>
  <si>
    <t>优生优育免疫学测定</t>
  </si>
  <si>
    <t>23</t>
  </si>
  <si>
    <t>血液筛查血清学及丙氨酸氨基转移酶检测</t>
  </si>
  <si>
    <t>脂类分析</t>
  </si>
  <si>
    <t>26</t>
  </si>
  <si>
    <t>胆汁酸</t>
  </si>
  <si>
    <t>27</t>
  </si>
  <si>
    <t>人类白细胞抗原(HLA)基因分型</t>
  </si>
  <si>
    <t>28</t>
  </si>
  <si>
    <t>核酸检测（非病毒）</t>
  </si>
  <si>
    <t>29</t>
  </si>
  <si>
    <t>性病检测</t>
  </si>
  <si>
    <t>30</t>
  </si>
  <si>
    <t>临床微生物学(高级）</t>
  </si>
  <si>
    <t>临床微生物学(高级)</t>
  </si>
  <si>
    <t>31</t>
  </si>
  <si>
    <t>结核菌涂片，培养检查</t>
  </si>
  <si>
    <t>32</t>
  </si>
  <si>
    <t>尿液化学分析（调查）</t>
  </si>
  <si>
    <t>33</t>
  </si>
  <si>
    <t>全血细胞计数（调查）</t>
  </si>
  <si>
    <t>34</t>
  </si>
  <si>
    <t>全血细胞计数(补）</t>
  </si>
  <si>
    <t>35</t>
  </si>
  <si>
    <t>寄生虫形态学检查</t>
  </si>
  <si>
    <t>36</t>
  </si>
  <si>
    <t>尿液沉渣形态学检查</t>
  </si>
  <si>
    <t>37</t>
  </si>
  <si>
    <t>抗核抗体</t>
  </si>
  <si>
    <t>41</t>
  </si>
  <si>
    <t>感染性疾病抗原抗体快速检测</t>
  </si>
  <si>
    <t>43</t>
  </si>
  <si>
    <t>同型半胱氨酸检测</t>
  </si>
  <si>
    <t>44</t>
  </si>
  <si>
    <t>人类白细胞抗原(HLA)B*27基因检测</t>
  </si>
  <si>
    <t>45</t>
  </si>
  <si>
    <t>血站血液检验全血细胞计数</t>
  </si>
  <si>
    <t>47</t>
  </si>
  <si>
    <t>特殊蛋白校准验证</t>
  </si>
  <si>
    <t>48</t>
  </si>
  <si>
    <t>酶校准验证</t>
  </si>
  <si>
    <t>49</t>
  </si>
  <si>
    <t>校准验证</t>
  </si>
  <si>
    <t>50</t>
  </si>
  <si>
    <t>生化调查</t>
  </si>
  <si>
    <t>51</t>
  </si>
  <si>
    <t>凝血试验质评调查</t>
  </si>
  <si>
    <t>52</t>
  </si>
  <si>
    <t>感染性疾病血清学标志物系列A</t>
  </si>
  <si>
    <t>53</t>
  </si>
  <si>
    <t>感染性疾病血清学标志物系列B</t>
  </si>
  <si>
    <t>54</t>
  </si>
  <si>
    <t>感染性疾病血清学标志物系列C</t>
  </si>
  <si>
    <t>55</t>
  </si>
  <si>
    <t>血液筛查核酸检测</t>
  </si>
  <si>
    <t>56</t>
  </si>
  <si>
    <t>临床输血相容性检测</t>
  </si>
  <si>
    <t>57</t>
  </si>
  <si>
    <t>省市CDC食品微生物</t>
  </si>
  <si>
    <t>58</t>
  </si>
  <si>
    <t>省市CDC肠道传染病（细菌）</t>
  </si>
  <si>
    <t>59</t>
  </si>
  <si>
    <t>省市CDC健康体检</t>
  </si>
  <si>
    <t>60</t>
  </si>
  <si>
    <t>日本医学技师协会图片调查</t>
  </si>
  <si>
    <t>61</t>
  </si>
  <si>
    <t>Web用户</t>
  </si>
  <si>
    <t>62</t>
  </si>
  <si>
    <t>CD34阳性细胞绝对计数</t>
  </si>
  <si>
    <t>63</t>
  </si>
  <si>
    <t>C-反应蛋白测定室间质量调查活动</t>
  </si>
  <si>
    <t>64</t>
  </si>
  <si>
    <t>临床血清酶学参考测量能力验证计划</t>
  </si>
  <si>
    <t>65</t>
  </si>
  <si>
    <t>疾控中心细菌学检验</t>
  </si>
  <si>
    <t>66</t>
  </si>
  <si>
    <t>全血治疗药物监测</t>
  </si>
  <si>
    <t>67</t>
  </si>
  <si>
    <t>人乳头瘤病毒-16，-18及分型</t>
  </si>
  <si>
    <t>脑钠肽/N末端前脑钠肽</t>
  </si>
  <si>
    <t>71</t>
  </si>
  <si>
    <t>代谢物、总蛋白正确度验证</t>
  </si>
  <si>
    <t>72</t>
  </si>
  <si>
    <t>脂类正确度验证</t>
  </si>
  <si>
    <t>73</t>
  </si>
  <si>
    <t>ALT调查</t>
  </si>
  <si>
    <t>74</t>
  </si>
  <si>
    <t>糖化血红蛋白实验室间比对</t>
  </si>
  <si>
    <t>全血五元素（铜锌钙镁铁）</t>
  </si>
  <si>
    <t>76</t>
  </si>
  <si>
    <t>新生儿遗传代谢病筛查-葡萄糖-6-磷酸脱氢酶（血斑）</t>
  </si>
  <si>
    <t>77</t>
  </si>
  <si>
    <t>参考区间研究的正确度验证计划</t>
  </si>
  <si>
    <t>78</t>
  </si>
  <si>
    <t>酶学正确度验证</t>
  </si>
  <si>
    <t>79</t>
  </si>
  <si>
    <t>糖化血红蛋白正确度验证</t>
  </si>
  <si>
    <t>80</t>
  </si>
  <si>
    <t>新生儿遗传代谢病筛查-17羟孕酮（血斑）</t>
  </si>
  <si>
    <t>81</t>
  </si>
  <si>
    <t>新生儿遗传代谢病串联质谱-氨基酸和酰基肉碱</t>
  </si>
  <si>
    <t>82</t>
  </si>
  <si>
    <t>酰基肉碱（停用）</t>
  </si>
  <si>
    <t>83</t>
  </si>
  <si>
    <t>血红蛋白A2和血红蛋白F</t>
  </si>
  <si>
    <t>84</t>
  </si>
  <si>
    <t>酶学实验室高频次室间比对计划</t>
  </si>
  <si>
    <t>85</t>
  </si>
  <si>
    <t>早孕期母血清产前筛查</t>
  </si>
  <si>
    <t>86</t>
  </si>
  <si>
    <t>出入境检验检疫系统微生物学</t>
  </si>
  <si>
    <t>88</t>
  </si>
  <si>
    <t>全血细胞计数正确度验证</t>
  </si>
  <si>
    <t>全血细胞计数正确度验证（标本运送方式：到北京自取标本，并能够在标本采集后8小时内完成检测。）</t>
  </si>
  <si>
    <t>89</t>
  </si>
  <si>
    <t>血清蛋白电泳</t>
  </si>
  <si>
    <t>90</t>
  </si>
  <si>
    <t>产前诊断染色体核型分析(初步)</t>
  </si>
  <si>
    <t>91</t>
  </si>
  <si>
    <t>常规化学新鲜冰冻血清EQA（试评价）</t>
  </si>
  <si>
    <t>92</t>
  </si>
  <si>
    <t>电解质正确度验证</t>
  </si>
  <si>
    <t>93</t>
  </si>
  <si>
    <t>医学参考测量实验室室间质量评价计划</t>
  </si>
  <si>
    <t>94</t>
  </si>
  <si>
    <t>代谢物、总蛋白参考实验室比对</t>
  </si>
  <si>
    <t>95</t>
  </si>
  <si>
    <t>人乳头瘤病毒基因分型</t>
  </si>
  <si>
    <t>96</t>
  </si>
  <si>
    <t>EGFR基因突变检测</t>
  </si>
  <si>
    <t>97</t>
  </si>
  <si>
    <t>KRAS基因突变检测</t>
  </si>
  <si>
    <t>98</t>
  </si>
  <si>
    <t>凝血因子检测</t>
  </si>
  <si>
    <t>99</t>
  </si>
  <si>
    <t>干化学胆红素调查计划</t>
  </si>
  <si>
    <t>A0</t>
  </si>
  <si>
    <t>新生儿耳聋基因检测(停用）</t>
  </si>
  <si>
    <t>A2</t>
  </si>
  <si>
    <t>人类白细胞抗原(HLA)B*57：01基因检测</t>
  </si>
  <si>
    <t>A3</t>
  </si>
  <si>
    <t>人类白细胞抗原(HLA)B*58：01基因检测</t>
  </si>
  <si>
    <t>A4</t>
  </si>
  <si>
    <t>人类白细胞抗原(HLA)B*15：02基因检测</t>
  </si>
  <si>
    <t>A5</t>
  </si>
  <si>
    <t>地中海贫血基因分型</t>
  </si>
  <si>
    <t>A6</t>
  </si>
  <si>
    <t>细胞色素P450 2C9基因分型检测</t>
  </si>
  <si>
    <t>A7</t>
  </si>
  <si>
    <t>抗酸染色项目</t>
  </si>
  <si>
    <t>A8</t>
  </si>
  <si>
    <t>抗环瓜氨酸肽（抗-CCP）抗体</t>
  </si>
  <si>
    <t>A9</t>
  </si>
  <si>
    <t>药代动力学实验室生物样本检测</t>
  </si>
  <si>
    <t>B0</t>
  </si>
  <si>
    <t>巨细胞病毒核酸检测</t>
  </si>
  <si>
    <t>B1</t>
  </si>
  <si>
    <t>BRAF基因突变检测</t>
  </si>
  <si>
    <t>B2</t>
  </si>
  <si>
    <t>华法林药物代谢基因（CYP2C9和VKORC1）多态性</t>
  </si>
  <si>
    <t>B3</t>
  </si>
  <si>
    <t>外周血胎儿染色体非整倍体（T21,T18和T13）高通量测序</t>
  </si>
  <si>
    <t>B4</t>
  </si>
  <si>
    <t>小分子代谢物参考测量能力验证计划</t>
  </si>
  <si>
    <t>B5</t>
  </si>
  <si>
    <t>糖化血红蛋白参考测量能力验证计划</t>
  </si>
  <si>
    <t>B6</t>
  </si>
  <si>
    <t>脂类参考测量能力验证计划</t>
  </si>
  <si>
    <t>B7</t>
  </si>
  <si>
    <t>电解质参考测量能力验证计划</t>
  </si>
  <si>
    <t>B8</t>
  </si>
  <si>
    <t>临床检验专业质量控制指标室间质评计划</t>
  </si>
  <si>
    <t>B9</t>
  </si>
  <si>
    <t>氯吡格雷药物代谢基因（CYP2C19）多态性</t>
  </si>
  <si>
    <t>BA</t>
  </si>
  <si>
    <t>伊立替康药物代谢基因（UGT1A1）多态性</t>
  </si>
  <si>
    <t>BB</t>
  </si>
  <si>
    <t>乳腺癌HER2扩增FISH检测</t>
  </si>
  <si>
    <t>BC</t>
  </si>
  <si>
    <t>PIK3CA基因突变检测</t>
  </si>
  <si>
    <t>BD</t>
  </si>
  <si>
    <t>临床微生物学（中级）</t>
  </si>
  <si>
    <t>BF</t>
  </si>
  <si>
    <t>尿液蛋白标志物Ⅰ</t>
  </si>
  <si>
    <t>BG</t>
  </si>
  <si>
    <t>尿碘</t>
  </si>
  <si>
    <t>BH</t>
  </si>
  <si>
    <t>血铅正确度验证调查</t>
  </si>
  <si>
    <t>BI</t>
  </si>
  <si>
    <t>产前诊断染色体核型分析</t>
  </si>
  <si>
    <t>BJ</t>
  </si>
  <si>
    <t>总蛋白和胆红素参考测量能力验证计划</t>
  </si>
  <si>
    <t>BL</t>
  </si>
  <si>
    <t>EML4-ALK融合基因检测（FISH）</t>
  </si>
  <si>
    <t>BM</t>
  </si>
  <si>
    <t>EML4-ALK融合基因检测（PCR）</t>
  </si>
  <si>
    <t>BN</t>
  </si>
  <si>
    <t>人类嗜T淋巴细胞病毒抗体监测（HTLV I/II抗体）</t>
  </si>
  <si>
    <t>BO</t>
  </si>
  <si>
    <t>抗凝蛋白检测</t>
  </si>
  <si>
    <t>BP</t>
  </si>
  <si>
    <t>实体肿瘤体细胞突变高通量测序检测</t>
  </si>
  <si>
    <t>BQ</t>
  </si>
  <si>
    <t>类固醇激素参考测量能力验证计划</t>
  </si>
  <si>
    <t>BR</t>
  </si>
  <si>
    <t>甲状腺激素参考测量能力验证计划</t>
  </si>
  <si>
    <t>BS</t>
  </si>
  <si>
    <t>新生儿耳聋基因检测（NDGM）</t>
  </si>
  <si>
    <t>BT</t>
  </si>
  <si>
    <t>BCR-ABL1融合基因检测</t>
  </si>
  <si>
    <t>BU</t>
  </si>
  <si>
    <t>他莫昔芬药物代谢基因（CYP2D6）多态性</t>
  </si>
  <si>
    <t>BV</t>
  </si>
  <si>
    <t>EB病毒核酸检测（PCR-EBV）</t>
  </si>
  <si>
    <t>BW</t>
  </si>
  <si>
    <t>新生儿遗传代谢病筛查质量指标</t>
  </si>
  <si>
    <t>BX</t>
  </si>
  <si>
    <t>早孕期母血清产前筛查数据分析</t>
  </si>
  <si>
    <t>BY</t>
  </si>
  <si>
    <t>中孕期母血清产前筛查数据分析</t>
  </si>
  <si>
    <t>BZ</t>
  </si>
  <si>
    <t>围产期孕妇B群链球菌培养及核酸检测</t>
  </si>
  <si>
    <t>C1</t>
  </si>
  <si>
    <t>生化危急值室间质评计划</t>
  </si>
  <si>
    <t>C2</t>
  </si>
  <si>
    <t>血气危急值室间质评计划</t>
  </si>
  <si>
    <t>血液危急值室间质评计划</t>
  </si>
  <si>
    <t>CA</t>
  </si>
  <si>
    <t>新生儿血红蛋白病筛查（血斑）室间质量评价调查</t>
  </si>
  <si>
    <t>肿瘤标志物B (原肿瘤标志物Ⅱ)</t>
  </si>
  <si>
    <t>CC</t>
  </si>
  <si>
    <t>糖化白蛋白和果糖胺（调查）</t>
  </si>
  <si>
    <t>CE</t>
  </si>
  <si>
    <t>胎儿羊水细胞染色体非整倍体产前FISH检测室间质量调查</t>
  </si>
  <si>
    <t>CF</t>
  </si>
  <si>
    <t>中孕期母血清产前筛查抑制素A检测</t>
  </si>
  <si>
    <t>CG</t>
  </si>
  <si>
    <t>新生儿遗传代谢病气质联用检测尿液有机酸</t>
  </si>
  <si>
    <t>CH</t>
  </si>
  <si>
    <t>产前筛查质量指标</t>
  </si>
  <si>
    <t>CK</t>
  </si>
  <si>
    <t>肿瘤游离DNA基因突变高通量测序检测</t>
  </si>
  <si>
    <t>CL</t>
  </si>
  <si>
    <t>肿瘤体细胞突变高通量测序检测生物信息学分析</t>
  </si>
  <si>
    <t>CM</t>
  </si>
  <si>
    <t>抗中性粒细胞胞浆抗体检测</t>
  </si>
  <si>
    <t>抗中性粒细胞胞浆抗体检测室间质量评价</t>
  </si>
  <si>
    <t>CN</t>
  </si>
  <si>
    <t>肿瘤游离DNA EGFR基因突变检测</t>
  </si>
  <si>
    <t>CO</t>
  </si>
  <si>
    <t>DMD基因检测</t>
  </si>
  <si>
    <t>CP</t>
  </si>
  <si>
    <t>辛伐他汀药物转运体基因（SLCO1B1）分型</t>
  </si>
  <si>
    <t>CQ</t>
  </si>
  <si>
    <t>他克莫司药物代谢基因(CYP3A5)分型</t>
  </si>
  <si>
    <t>CR</t>
  </si>
  <si>
    <t>红细胞沉降率测定Ⅱ</t>
  </si>
  <si>
    <t>CS</t>
  </si>
  <si>
    <t>血站实验室质量控制指标</t>
  </si>
  <si>
    <t>CT</t>
  </si>
  <si>
    <t>新生儿葡萄糖-6-磷酸脱氢酶(G6PD)基因突变检测</t>
  </si>
  <si>
    <t>CU</t>
  </si>
  <si>
    <t>新生儿遗传代谢病气质联用检测尿液有机酸精密度验证</t>
  </si>
  <si>
    <t>CV</t>
  </si>
  <si>
    <t>腺苷脱氨酶（ADA）</t>
  </si>
  <si>
    <t>CW</t>
  </si>
  <si>
    <t>血管紧张素转化酶（ACE）</t>
  </si>
  <si>
    <t>CX</t>
  </si>
  <si>
    <t>CY</t>
  </si>
  <si>
    <t>β-羟丁酸（β-HB）</t>
  </si>
  <si>
    <t>CZ</t>
  </si>
  <si>
    <t>小而密低密度脂蛋白（sdLDL-C）</t>
  </si>
  <si>
    <t>DA</t>
  </si>
  <si>
    <t>超氧化物歧化酶（SOD）</t>
  </si>
  <si>
    <t>DB</t>
  </si>
  <si>
    <t>总胆汁酸（TBA）</t>
  </si>
  <si>
    <t>DC</t>
  </si>
  <si>
    <t>DE</t>
  </si>
  <si>
    <t>乳酸（LAC）</t>
  </si>
  <si>
    <t>DF</t>
  </si>
  <si>
    <t>游离脂肪酸（NEFA）</t>
  </si>
  <si>
    <t>DG</t>
  </si>
  <si>
    <t>脂类II（调查-1）</t>
  </si>
  <si>
    <t>DH</t>
  </si>
  <si>
    <t>内分泌正确度验证（调查）</t>
  </si>
  <si>
    <t>DI</t>
  </si>
  <si>
    <t>内分泌正确度验证（醛固酮调查）</t>
  </si>
  <si>
    <t>DJ</t>
  </si>
  <si>
    <t>儿茶酚胺及其代谢物检测（调查）</t>
  </si>
  <si>
    <t>DK</t>
  </si>
  <si>
    <t>同型半胱氨酸质谱法（调查）</t>
  </si>
  <si>
    <t>DL</t>
  </si>
  <si>
    <t>内分泌正确度验证质谱法（调查）</t>
  </si>
  <si>
    <t>DM</t>
  </si>
  <si>
    <t>醛固酮质谱法检测（调查）</t>
  </si>
  <si>
    <t>DN</t>
  </si>
  <si>
    <t>常规化学（三级公立医院增补）</t>
  </si>
  <si>
    <t>DO</t>
  </si>
  <si>
    <t>内分泌（三级公立医院增补）</t>
  </si>
  <si>
    <t>DP</t>
  </si>
  <si>
    <t>肿瘤标志物（三级公立医院增补）</t>
  </si>
  <si>
    <t>DQ</t>
  </si>
  <si>
    <t>特殊蛋白（三级公立医院增补）</t>
  </si>
  <si>
    <t>DR</t>
  </si>
  <si>
    <t>心肌标志物（三级公立医院增补）</t>
  </si>
  <si>
    <t>DS</t>
  </si>
  <si>
    <t>脂类分析（三级公立医院增补）</t>
  </si>
  <si>
    <t>DT</t>
  </si>
  <si>
    <t>尿液定量生化（三级公立医院增补）</t>
  </si>
  <si>
    <t>DU</t>
  </si>
  <si>
    <t>肿瘤标志物II（三级公立医院增补）</t>
  </si>
  <si>
    <t>DV</t>
  </si>
  <si>
    <t>全血细胞计数（三级公立医院增补）</t>
  </si>
  <si>
    <t>DW</t>
  </si>
  <si>
    <t>感染性疾病血清学标志物系列A（三级公立医院增补）</t>
  </si>
  <si>
    <t>DX</t>
  </si>
  <si>
    <t>感染性疾病血清学标志物系列C（三级公立医院增补）</t>
  </si>
  <si>
    <t>常规化学B（常规化学Ⅱ）</t>
  </si>
  <si>
    <t>DZ</t>
  </si>
  <si>
    <t>类固醇激素正确度验证</t>
  </si>
  <si>
    <t>E0</t>
  </si>
  <si>
    <t>糖化血红蛋白检测项目参考区间室间调查</t>
  </si>
  <si>
    <t>E1</t>
  </si>
  <si>
    <t>内分泌检测项目参考区间室间调查</t>
  </si>
  <si>
    <t>E2</t>
  </si>
  <si>
    <t>肿瘤标志物检测项目参考区间室间调查</t>
  </si>
  <si>
    <t>E3</t>
  </si>
  <si>
    <t>心肌标志物检测项目参考区间室间调查</t>
  </si>
  <si>
    <t>E4</t>
  </si>
  <si>
    <t>全血细胞计数检测项目参考区间室间调查</t>
  </si>
  <si>
    <t>E5</t>
  </si>
  <si>
    <t>凝血检测项目参考区间室间调查</t>
  </si>
  <si>
    <t>E6</t>
  </si>
  <si>
    <t>脑脊液生化检测项目参考区间室间调查</t>
  </si>
  <si>
    <t>E7</t>
  </si>
  <si>
    <t>常规化学检测项目参考区间室间调查</t>
  </si>
  <si>
    <t>E8</t>
  </si>
  <si>
    <t>干化学检测项目参考区间室间调查</t>
  </si>
  <si>
    <t>E9</t>
  </si>
  <si>
    <t>特殊蛋白检测项目参考区间室间调查</t>
  </si>
  <si>
    <t>EA</t>
  </si>
  <si>
    <t>维生素检测及正确度验证</t>
  </si>
  <si>
    <t>EB</t>
  </si>
  <si>
    <t>甲功相关项目检测及正确度验证</t>
  </si>
  <si>
    <t>EC</t>
  </si>
  <si>
    <t>同型半胱氨酸正确度验证</t>
  </si>
  <si>
    <t>ED</t>
  </si>
  <si>
    <t>儿茶酚胺及其代谢物检测</t>
  </si>
  <si>
    <t>EE</t>
  </si>
  <si>
    <t>叶酸代谢基因（MTHFR）多态性</t>
  </si>
  <si>
    <t>EF</t>
  </si>
  <si>
    <t>遗传病高通量测序检测生物信息学分析</t>
  </si>
  <si>
    <t>EG</t>
  </si>
  <si>
    <t>染色体基因组结构异常</t>
  </si>
  <si>
    <t>EH</t>
  </si>
  <si>
    <t>流式细胞分析-CD34+干细胞计数</t>
  </si>
  <si>
    <t>EI</t>
  </si>
  <si>
    <t>醛固酮和肾素</t>
  </si>
  <si>
    <t>EJ</t>
  </si>
  <si>
    <t>细胞因子</t>
  </si>
  <si>
    <t>EK</t>
  </si>
  <si>
    <t>常规化学II(调查)</t>
  </si>
  <si>
    <t>EL</t>
  </si>
  <si>
    <t>肝纤维化血清学指标</t>
  </si>
  <si>
    <t>EM</t>
  </si>
  <si>
    <t>骨代谢标志物（调查）</t>
  </si>
  <si>
    <t>EN</t>
  </si>
  <si>
    <t>脂类II（调查-2）</t>
  </si>
  <si>
    <t>EO</t>
  </si>
  <si>
    <t>维生素参考测量能力验证计划</t>
  </si>
  <si>
    <t>EP</t>
  </si>
  <si>
    <t>同型半胱氨酸参考测量能力验证计划</t>
  </si>
  <si>
    <t>EQ</t>
  </si>
  <si>
    <t>尼美舒利-药代动力学实验室生物样本检测</t>
  </si>
  <si>
    <t>ER</t>
  </si>
  <si>
    <t>全国血站实验室新型冠状病毒核酸检测</t>
  </si>
  <si>
    <t>ES</t>
  </si>
  <si>
    <t>全国血站实验室新型冠状病毒抗体检测</t>
  </si>
  <si>
    <t>ET</t>
  </si>
  <si>
    <t>新型冠状病毒核酸检测</t>
  </si>
  <si>
    <t>EU</t>
  </si>
  <si>
    <t>新型冠状病毒核酸快速检测</t>
  </si>
  <si>
    <t>EV</t>
  </si>
  <si>
    <t>幽门螺杆菌抗体(调查2020）</t>
  </si>
  <si>
    <t>EW</t>
  </si>
  <si>
    <t>新型冠状病毒核酸检测（接收集中隔离点样本检测机构）</t>
  </si>
  <si>
    <t>EX</t>
  </si>
  <si>
    <t>新型冠状病毒抗体检测</t>
  </si>
  <si>
    <t>EY</t>
  </si>
  <si>
    <t>产前诊断实验室质量指标</t>
  </si>
  <si>
    <t>EZ</t>
  </si>
  <si>
    <t>醛固酮参考测量能力验证计划</t>
  </si>
  <si>
    <t>F1</t>
  </si>
  <si>
    <t>同型半胱氨酸检测项目参考区间室间调查</t>
  </si>
  <si>
    <t>F2</t>
  </si>
  <si>
    <t>脑钠肽 N末端前脑钠肽检测项目参考区间室间调查</t>
  </si>
  <si>
    <t>F3</t>
  </si>
  <si>
    <t>红细胞沉降率检测项目参考区间室间调查</t>
  </si>
  <si>
    <t>F4</t>
  </si>
  <si>
    <t>血液粘度检测项目参考区间室间调查</t>
  </si>
  <si>
    <t>F5</t>
  </si>
  <si>
    <t>D-二聚体检测项目参考区间室间调查</t>
  </si>
  <si>
    <t>F6</t>
  </si>
  <si>
    <t>凝血因子检测项目参考区间室间调查</t>
  </si>
  <si>
    <t>F7</t>
  </si>
  <si>
    <t>血气和酸碱分析检测项目参考区间室间调查</t>
  </si>
  <si>
    <t>F8</t>
  </si>
  <si>
    <t>全血五元素检测项目参考区间室间调查</t>
  </si>
  <si>
    <t>F9</t>
  </si>
  <si>
    <t>酰基肉碱（血斑）参考区间</t>
  </si>
  <si>
    <t>FA</t>
  </si>
  <si>
    <t>氨基酸（血斑）参考区间</t>
  </si>
  <si>
    <t>FB</t>
  </si>
  <si>
    <t>脂类检测项目参考区间室间调查</t>
  </si>
  <si>
    <t>FC</t>
  </si>
  <si>
    <t>流式细胞术检测项目参考区间室间调查</t>
  </si>
  <si>
    <t>FD</t>
  </si>
  <si>
    <t>网织红细胞计数检测项目参考区间室间调查</t>
  </si>
  <si>
    <t>FE</t>
  </si>
  <si>
    <t>美年大健康常规化学室间质评调查</t>
  </si>
  <si>
    <t>FF</t>
  </si>
  <si>
    <t>全国血站实验室血清学检测室间质评调查</t>
  </si>
  <si>
    <t>FG</t>
  </si>
  <si>
    <t>血站病毒核酸检测室间质评调查</t>
  </si>
  <si>
    <t>FH</t>
  </si>
  <si>
    <t>临床实验室满意度调查</t>
  </si>
  <si>
    <t>FI</t>
  </si>
  <si>
    <t>临床实验室危急值报告与全程周转时间调查</t>
  </si>
  <si>
    <t>FJ</t>
  </si>
  <si>
    <t>临床检验项目允许不精密度和允许偏倚调查</t>
  </si>
  <si>
    <t>FK</t>
  </si>
  <si>
    <t>临床检验常规化学专业患者数据实验室间比对</t>
  </si>
  <si>
    <t>FL</t>
  </si>
  <si>
    <t>临床实验室静脉采血过程和标本不合格原因质评计划</t>
  </si>
  <si>
    <t>FM</t>
  </si>
  <si>
    <t>尿液肾功能标志物检测调查</t>
  </si>
  <si>
    <t>FN</t>
  </si>
  <si>
    <t>儿童常规化学部分检测项目的参考区间调查</t>
  </si>
  <si>
    <t>FO</t>
  </si>
  <si>
    <t>儿童全血细胞计数检测项目的参考区间调查</t>
  </si>
  <si>
    <t>FP</t>
  </si>
  <si>
    <t>临床检验解释性注释室间质量评价</t>
  </si>
  <si>
    <t>FQ</t>
  </si>
  <si>
    <t>差值检查法室内质控调查</t>
  </si>
  <si>
    <t>FR</t>
  </si>
  <si>
    <t>新生儿脊髓性肌萎缩症（SMA）基因检测室间质评调查</t>
  </si>
  <si>
    <t>FS</t>
  </si>
  <si>
    <t>医学检验实验室临床检验医疗质量控制指标调查</t>
  </si>
  <si>
    <t>FT</t>
  </si>
  <si>
    <t>免疫抑制剂参考测量能力验证计划</t>
  </si>
  <si>
    <t>GA</t>
  </si>
  <si>
    <t>C肽参考测量能力验证计划</t>
  </si>
  <si>
    <t>GB</t>
  </si>
  <si>
    <t>新型冠状病毒变异株核酸检测</t>
  </si>
  <si>
    <t>GC</t>
  </si>
  <si>
    <t>新型冠状病毒变异株鉴别检测</t>
  </si>
  <si>
    <t>GD</t>
  </si>
  <si>
    <t>流式细胞分析-人类白细胞抗原B27检测</t>
  </si>
  <si>
    <t>GE</t>
  </si>
  <si>
    <t>血管性血友病因子抗原检测</t>
  </si>
  <si>
    <t>GF</t>
  </si>
  <si>
    <t>抗凝血因子Xa活性检测(肝素和或低分子量肝素用药监测)</t>
  </si>
  <si>
    <t>GG</t>
  </si>
  <si>
    <t>新生儿遗传代谢病串联质谱检测-氨基酸和酰基肉碱</t>
  </si>
  <si>
    <t>GI</t>
  </si>
  <si>
    <t>抗生素治疗药物监测</t>
  </si>
  <si>
    <t>GJ</t>
  </si>
  <si>
    <t>抗肿瘤药物TDM（调查）</t>
  </si>
  <si>
    <t>GK</t>
  </si>
  <si>
    <t>抗真菌药物TDM（调查）</t>
  </si>
  <si>
    <t>GL</t>
  </si>
  <si>
    <t>精神类治疗药物监测</t>
  </si>
  <si>
    <t>GM</t>
  </si>
  <si>
    <t>抗抑郁药物TDM（调查）</t>
  </si>
  <si>
    <t>GN</t>
  </si>
  <si>
    <t>子痫前期筛查</t>
  </si>
  <si>
    <t>GP</t>
  </si>
  <si>
    <t>新型冠状病毒奥密克戎变异株核酸检测</t>
  </si>
  <si>
    <t>GQ</t>
  </si>
  <si>
    <t>新生儿遗传代谢病串联质谱筛查-氨基酸和酰基肉碱</t>
  </si>
  <si>
    <t>GR</t>
  </si>
  <si>
    <t>遗传病基因变异高通量测序</t>
  </si>
  <si>
    <t>GS</t>
  </si>
  <si>
    <t>甲氧基肾上腺素类参考测量能力验证计划</t>
  </si>
  <si>
    <t>常规化学C（本年度新增计划）</t>
  </si>
  <si>
    <t>GU</t>
  </si>
  <si>
    <t>糖化白蛋白</t>
  </si>
  <si>
    <t>GV</t>
  </si>
  <si>
    <t>细胞因子检测(调查项目)</t>
  </si>
  <si>
    <t>GW</t>
  </si>
  <si>
    <t>甲型流感病毒核酸检测</t>
  </si>
  <si>
    <t>甲型流感病毒核酸检测（本年度新增计划）</t>
  </si>
  <si>
    <t>GX</t>
  </si>
  <si>
    <t>乙型流感病毒核酸检测</t>
  </si>
  <si>
    <t>乙型流感病毒核酸检测（本年度新增计划）</t>
  </si>
  <si>
    <t>GY</t>
  </si>
  <si>
    <t>副流感病毒核酸检测</t>
  </si>
  <si>
    <t>GZ</t>
  </si>
  <si>
    <t>呼吸道合胞病毒核酸检测</t>
  </si>
  <si>
    <t>呼吸道合胞病毒核酸检测（本年度新增计划）</t>
  </si>
  <si>
    <t>HA</t>
  </si>
  <si>
    <t>鼻病毒核酸检测</t>
  </si>
  <si>
    <t>鼻病毒核酸检测（本年度新增计划）</t>
  </si>
  <si>
    <t>HB</t>
  </si>
  <si>
    <t>白血病BCR-ABL1融合基因（p210和p190）检测</t>
  </si>
  <si>
    <t>HC</t>
  </si>
  <si>
    <t>甲状旁腺激素(调查计划)</t>
  </si>
  <si>
    <t>HD</t>
  </si>
  <si>
    <t>真菌感染检测项目：G试验（1,3-β-D葡聚糖试验）</t>
  </si>
  <si>
    <t>HE</t>
  </si>
  <si>
    <t>真菌感染检测项目：GM试验（半乳甘露聚糖试验）</t>
  </si>
  <si>
    <t>HF</t>
  </si>
  <si>
    <t>丝状真菌形态学（图片）</t>
  </si>
  <si>
    <t>HG</t>
  </si>
  <si>
    <t>肺炎支原体核酸及其耐药基因检测</t>
  </si>
  <si>
    <t>HH</t>
  </si>
  <si>
    <t>脂类B</t>
  </si>
  <si>
    <t>HI</t>
  </si>
  <si>
    <t>幽门螺杆菌抗体</t>
  </si>
  <si>
    <t>HJ</t>
  </si>
  <si>
    <t>肝素结合蛋白(调查)</t>
  </si>
  <si>
    <t>HK</t>
  </si>
  <si>
    <t>甲状腺功能检测</t>
  </si>
  <si>
    <t>HL</t>
  </si>
  <si>
    <t>酵母样真菌鉴定及药敏试验</t>
  </si>
  <si>
    <t>HN</t>
  </si>
  <si>
    <t>耐苯唑西林金黄色葡萄球菌基因型检测</t>
  </si>
  <si>
    <t>HP</t>
  </si>
  <si>
    <t>碳青霉烯耐药的肠杆菌酶型基因型检测</t>
  </si>
  <si>
    <t>HQ</t>
  </si>
  <si>
    <t>耐万古霉素肠球菌基因型检测</t>
  </si>
  <si>
    <t>HR</t>
  </si>
  <si>
    <t>新发再发经血传播病原体核酸检测（蚊媒病原体）</t>
  </si>
  <si>
    <t>HS</t>
  </si>
  <si>
    <t>新发再发经血传播病原体核酸检测（蜱媒病原体）</t>
  </si>
  <si>
    <t>HT</t>
  </si>
  <si>
    <t>血液筛查核酸检测系统交叉比对</t>
  </si>
  <si>
    <t>HU</t>
  </si>
  <si>
    <t>全国血站血液检测实验室质量指标</t>
  </si>
  <si>
    <t>HV</t>
  </si>
  <si>
    <t>外周血/骨髓涂片细胞分类形态学检查</t>
  </si>
  <si>
    <t>HW</t>
  </si>
  <si>
    <t>血液肿瘤染色体核型分析</t>
  </si>
  <si>
    <t>HX</t>
  </si>
  <si>
    <t>遗传变异分类解读</t>
  </si>
  <si>
    <t>HY</t>
  </si>
  <si>
    <t>单基因遗传病携带者筛查结果解释</t>
  </si>
  <si>
    <t>HZ</t>
  </si>
  <si>
    <t>血管内皮生长因子(调查)</t>
  </si>
  <si>
    <t>IA</t>
  </si>
  <si>
    <t>抗核抗体谱</t>
  </si>
  <si>
    <t>IB</t>
  </si>
  <si>
    <t>G6PD基因检测（调查）</t>
  </si>
  <si>
    <t>IC</t>
  </si>
  <si>
    <t>甲基丙二酸血症基因检测(调查）</t>
  </si>
  <si>
    <t>ID</t>
  </si>
  <si>
    <t>胚胎植入前染色体非整倍体检测（调查）</t>
  </si>
  <si>
    <t>MC</t>
  </si>
  <si>
    <t>血培养污染率室间质评调查</t>
  </si>
  <si>
    <t>R1</t>
  </si>
  <si>
    <t>生化检验报告适当性室间质评计划</t>
  </si>
  <si>
    <t>R2</t>
  </si>
  <si>
    <t>血液检验报告适当性室间质评计划</t>
  </si>
  <si>
    <t>R3</t>
  </si>
  <si>
    <t>免疫检验报告适当性室间质评计划</t>
  </si>
  <si>
    <t>S1</t>
  </si>
  <si>
    <t>常规化学标本可接受情况室间质评计划</t>
  </si>
  <si>
    <t>S2</t>
  </si>
  <si>
    <t>全血细胞计数标本可接受情况室间质评计划</t>
  </si>
  <si>
    <t>S3</t>
  </si>
  <si>
    <t>凝血检测标本可接受情况室间质评计划</t>
  </si>
  <si>
    <t>T1</t>
  </si>
  <si>
    <t>生化TAT室间质评计划</t>
  </si>
  <si>
    <t>T2</t>
  </si>
  <si>
    <t>血气TAT室间质评计划</t>
  </si>
  <si>
    <t>T3</t>
  </si>
  <si>
    <t>血液TAT室间质评计划</t>
  </si>
  <si>
    <t>Z1</t>
  </si>
  <si>
    <t>国家临床重点检验专科检测结果互认（酶类）</t>
  </si>
  <si>
    <t>Z2</t>
  </si>
  <si>
    <t>国家临床重点检验专科检测结果互认（肾功能、葡萄糖）</t>
  </si>
  <si>
    <t>Z3</t>
  </si>
  <si>
    <t>国家临床重点检验专科检测结果互认（蛋白、血脂）</t>
  </si>
  <si>
    <t>ZY</t>
  </si>
  <si>
    <t>红细胞沉降率测定Ⅰ调查</t>
  </si>
  <si>
    <t>ZZ</t>
  </si>
  <si>
    <t>参考测量计划干冰运输</t>
  </si>
  <si>
    <t>本室测定值</t>
    <phoneticPr fontId="1" type="noConversion"/>
  </si>
  <si>
    <t>同组标准差</t>
    <phoneticPr fontId="1" type="noConversion"/>
  </si>
  <si>
    <t>标准差指数(SDI)</t>
    <phoneticPr fontId="1" type="noConversion"/>
  </si>
  <si>
    <t>75%TEa</t>
  </si>
  <si>
    <t>50%TEa</t>
  </si>
  <si>
    <t>序号</t>
    <phoneticPr fontId="1" type="noConversion"/>
  </si>
  <si>
    <t>SDI绝对值</t>
    <phoneticPr fontId="1" type="noConversion"/>
  </si>
  <si>
    <t>项目编码</t>
  </si>
  <si>
    <t>项目名称</t>
  </si>
  <si>
    <t>允许总误差(TEa)(%)</t>
  </si>
  <si>
    <t>规则名称</t>
    <phoneticPr fontId="1" type="noConversion"/>
  </si>
  <si>
    <t>是否违反本规则</t>
    <phoneticPr fontId="1" type="noConversion"/>
  </si>
  <si>
    <t>提示</t>
    <phoneticPr fontId="1" type="noConversion"/>
  </si>
  <si>
    <r>
      <t>X</t>
    </r>
    <r>
      <rPr>
        <b/>
        <sz val="10"/>
        <rFont val="等线"/>
        <family val="3"/>
        <charset val="134"/>
        <scheme val="minor"/>
      </rPr>
      <t>1.5SDI</t>
    </r>
    <phoneticPr fontId="1" type="noConversion"/>
  </si>
  <si>
    <r>
      <t>R</t>
    </r>
    <r>
      <rPr>
        <b/>
        <sz val="10"/>
        <rFont val="等线"/>
        <family val="3"/>
        <charset val="134"/>
        <scheme val="minor"/>
      </rPr>
      <t>4SDI</t>
    </r>
    <phoneticPr fontId="1" type="noConversion"/>
  </si>
  <si>
    <r>
      <t>1</t>
    </r>
    <r>
      <rPr>
        <b/>
        <sz val="10"/>
        <rFont val="等线"/>
        <family val="3"/>
        <charset val="134"/>
        <scheme val="minor"/>
      </rPr>
      <t>75%TEa</t>
    </r>
    <phoneticPr fontId="1" type="noConversion"/>
  </si>
  <si>
    <r>
      <t>X</t>
    </r>
    <r>
      <rPr>
        <b/>
        <sz val="10"/>
        <rFont val="等线"/>
        <family val="3"/>
        <charset val="134"/>
        <scheme val="minor"/>
      </rPr>
      <t>1SDI</t>
    </r>
    <phoneticPr fontId="1" type="noConversion"/>
  </si>
  <si>
    <r>
      <t>R</t>
    </r>
    <r>
      <rPr>
        <b/>
        <sz val="10"/>
        <rFont val="等线"/>
        <family val="3"/>
        <charset val="134"/>
        <scheme val="minor"/>
      </rPr>
      <t>3SDI</t>
    </r>
    <phoneticPr fontId="1" type="noConversion"/>
  </si>
  <si>
    <t>表示5份EQA样本1份结果的偏差超过TEa的75%，不能确定存在系统误差或随机误差</t>
    <phoneticPr fontId="1" type="noConversion"/>
  </si>
  <si>
    <t>表示5份EQA样本平均SDI的绝对值超过1.5，提示存在系统误差</t>
    <phoneticPr fontId="1" type="noConversion"/>
  </si>
  <si>
    <t>表示5份EQA样本任何2份样本SDI之差大于4，提示存在随机误差</t>
    <phoneticPr fontId="1" type="noConversion"/>
  </si>
  <si>
    <t>表示5份EQA样本测定结果在均值一侧，其中1份结果的偏差超过TEa的50%，提示存在系统误差</t>
    <phoneticPr fontId="1" type="noConversion"/>
  </si>
  <si>
    <t>表示5份EQA标本平均SDI的绝对值超过1，提示存在系统误差</t>
    <phoneticPr fontId="1" type="noConversion"/>
  </si>
  <si>
    <t>表示5份EQA样本任何2份样本SDI之差大于3，提示存在随机误差</t>
    <phoneticPr fontId="1" type="noConversion"/>
  </si>
  <si>
    <t>规则解释及意义</t>
    <phoneticPr fontId="1" type="noConversion"/>
  </si>
  <si>
    <r>
      <t>5</t>
    </r>
    <r>
      <rPr>
        <b/>
        <sz val="11"/>
        <color theme="1"/>
        <rFont val="Symbol"/>
        <family val="1"/>
        <charset val="2"/>
      </rPr>
      <t>`</t>
    </r>
    <r>
      <rPr>
        <b/>
        <sz val="11"/>
        <color theme="1"/>
        <rFont val="宋体"/>
        <family val="3"/>
        <charset val="134"/>
      </rPr>
      <t>X</t>
    </r>
    <r>
      <rPr>
        <b/>
        <sz val="11"/>
        <color theme="1"/>
        <rFont val="等线"/>
        <family val="2"/>
        <scheme val="minor"/>
      </rPr>
      <t>+1</t>
    </r>
    <r>
      <rPr>
        <b/>
        <sz val="10"/>
        <color theme="1"/>
        <rFont val="等线"/>
        <family val="3"/>
        <charset val="134"/>
        <scheme val="minor"/>
      </rPr>
      <t>50%TEa</t>
    </r>
    <phoneticPr fontId="1" type="noConversion"/>
  </si>
  <si>
    <t>同组均值或中位数</t>
    <phoneticPr fontId="1" type="noConversion"/>
  </si>
  <si>
    <t>平均SDI的绝对值</t>
    <phoneticPr fontId="1" type="noConversion"/>
  </si>
  <si>
    <t>实验室</t>
    <phoneticPr fontId="1" type="noConversion"/>
  </si>
  <si>
    <t>生化室</t>
    <phoneticPr fontId="1" type="noConversion"/>
  </si>
  <si>
    <t>项目名称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</si>
</sst>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等线"/>
      <family val="2"/>
      <scheme val="minor"/>
    </font>
    <font>
      <i/>
      <sz val="11"/>
      <color theme="0" tint="-0.499984740745262"/>
      <name val="等线"/>
      <family val="3"/>
      <charset val="134"/>
      <scheme val="minor"/>
    </font>
    <font>
      <b/>
      <i/>
      <sz val="11"/>
      <color theme="0" tint="-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9" fontId="4" fillId="0" borderId="4" xfId="0" applyNumberFormat="1" applyFont="1" applyBorder="1"/>
    <xf numFmtId="0" fontId="4" fillId="0" borderId="4" xfId="0" applyFont="1" applyBorder="1"/>
    <xf numFmtId="0" fontId="5" fillId="0" borderId="1" xfId="0" applyFont="1" applyBorder="1"/>
    <xf numFmtId="0" fontId="5" fillId="0" borderId="0" xfId="0" applyFont="1"/>
    <xf numFmtId="49" fontId="4" fillId="0" borderId="11" xfId="0" applyNumberFormat="1" applyFont="1" applyBorder="1" applyAlignment="1">
      <alignment vertical="center" wrapText="1"/>
    </xf>
    <xf numFmtId="49" fontId="4" fillId="0" borderId="11" xfId="0" applyNumberFormat="1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</cellXfs>
  <cellStyles count="1">
    <cellStyle name="常规" xfId="0" builtinId="0"/>
  </cellStyles>
  <dxfs count="63">
    <dxf>
      <font>
        <b/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fgColor auto="1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fgColor auto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i/>
        <strike val="0"/>
        <outline val="0"/>
        <shadow val="0"/>
        <u val="none"/>
        <vertAlign val="baseline"/>
        <sz val="11"/>
        <color rgb="FF808080"/>
        <name val="等线"/>
        <charset val="134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i/>
        <strike val="0"/>
        <outline val="0"/>
        <shadow val="0"/>
        <u val="none"/>
        <vertAlign val="baseline"/>
        <sz val="11"/>
        <color theme="0" tint="-0.499984740745262"/>
        <name val="等线"/>
        <charset val="134"/>
        <scheme val="minor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等线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42D07C-4DBE-4BD3-8C42-5C23E68E164A}" name="项目表" displayName="项目表" ref="A1:D2" totalsRowShown="0" headerRowDxfId="18" dataDxfId="62" headerRowBorderDxfId="24" tableBorderDxfId="25" totalsRowBorderDxfId="23">
  <autoFilter ref="A1:D2" xr:uid="{E642D07C-4DBE-4BD3-8C42-5C23E68E164A}">
    <filterColumn colId="0" hiddenButton="1"/>
    <filterColumn colId="1" hiddenButton="1"/>
    <filterColumn colId="2" hiddenButton="1"/>
    <filterColumn colId="3" hiddenButton="1"/>
  </autoFilter>
  <tableColumns count="4">
    <tableColumn id="4" xr3:uid="{8D39742B-110F-4EE6-A422-42077D6DBD40}" name="实验室" dataDxfId="22"/>
    <tableColumn id="1" xr3:uid="{9C1ABE85-3D17-4A67-8146-7F2E47E886C8}" name="项目编码" dataDxfId="21"/>
    <tableColumn id="2" xr3:uid="{98872B7E-3FF4-4BFA-A1AB-9AA6EB10C73B}" name="项目名称" dataDxfId="20"/>
    <tableColumn id="3" xr3:uid="{63BDBA7C-D929-4889-A7EA-FA27F94E0F05}" name="允许总误差(TEa)(%)" dataDxfId="19"/>
  </tableColumns>
  <tableStyleInfo name="TableStyleLight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2EE564D-32A6-4C1B-80CD-659A56FCE207}" name="样本表" displayName="样本表" ref="A4:G9" totalsRowShown="0" headerRowDxfId="0" dataDxfId="61" headerRowBorderDxfId="9" tableBorderDxfId="10" totalsRowBorderDxfId="8">
  <autoFilter ref="A4:G9" xr:uid="{E5B61C70-0E63-487D-9BC7-97A6FE32EB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12753B6-AA95-4724-9C28-DE9F599B52A7}" name="样本编号" dataDxfId="7"/>
    <tableColumn id="2" xr3:uid="{EA04B056-239D-4EF7-8C31-9B449C3699C0}" name="本室测定值" dataDxfId="6"/>
    <tableColumn id="3" xr3:uid="{997F4689-DF39-4247-948F-9F6A410EA833}" name="同组均值或中位数" dataDxfId="5"/>
    <tableColumn id="5" xr3:uid="{43B2585E-D031-4752-B008-1BB195EF5829}" name="同组标准差" dataDxfId="4"/>
    <tableColumn id="11" xr3:uid="{D279B518-16C6-41D2-8CBC-9E6AF0CE84BF}" name="相对偏倚(%)" dataDxfId="3">
      <calculatedColumnFormula>(样本表[[#This Row],[本室测定值]]-样本表[[#This Row],[同组均值或中位数]])/样本表[[#This Row],[同组均值或中位数]]*100</calculatedColumnFormula>
    </tableColumn>
    <tableColumn id="8" xr3:uid="{FF33BA04-BD88-4AC1-8D3F-66242BF584B8}" name="标准差指数(SDI)" dataDxfId="2">
      <calculatedColumnFormula>(样本表[[#This Row],[本室测定值]]-样本表[[#This Row],[同组均值或中位数]])/样本表[[#This Row],[同组标准差]]</calculatedColumnFormula>
    </tableColumn>
    <tableColumn id="9" xr3:uid="{E21E233C-7849-4603-A767-B8BF3E35117B}" name="SDI绝对值" dataDxfId="1">
      <calculatedColumnFormula>ABS(样本表[[#This Row],[标准差指数(SDI)]])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1ACD1D-02ED-4D72-8053-7F40B46C2161}" name="计算表" displayName="计算表" ref="E1:G2" totalsRowShown="0" headerRowDxfId="11" dataDxfId="60" headerRowBorderDxfId="16" tableBorderDxfId="17" totalsRowBorderDxfId="15">
  <autoFilter ref="E1:G2" xr:uid="{C02449F2-1D5D-4713-8031-C09E6C4658A7}">
    <filterColumn colId="0" hiddenButton="1"/>
    <filterColumn colId="1" hiddenButton="1"/>
    <filterColumn colId="2" hiddenButton="1"/>
  </autoFilter>
  <tableColumns count="3">
    <tableColumn id="1" xr3:uid="{1235935F-FDF1-4BB6-A453-D2735019C49F}" name="平均SDI的绝对值" dataDxfId="14">
      <calculatedColumnFormula>ABS(AVERAGE(样本表[标准差指数(SDI)]))</calculatedColumnFormula>
    </tableColumn>
    <tableColumn id="2" xr3:uid="{05CEEE51-243B-419F-A3AC-0669564A73BD}" name="75%TEa" dataDxfId="13">
      <calculatedColumnFormula array="1">项目表[允许总误差(TEa)(%)]*0.75</calculatedColumnFormula>
    </tableColumn>
    <tableColumn id="3" xr3:uid="{75480BC3-6108-4667-B2CA-F480012D210E}" name="50%TEa" dataDxfId="12">
      <calculatedColumnFormula array="1">项目表[允许总误差(TEa)(%)]*0.5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CBECD-D37A-4B43-B5E3-7A1EF9BF4D9E}" name="项目表_2" displayName="项目表_2" ref="A1:D2" totalsRowShown="0" headerRowDxfId="59" dataDxfId="57" headerRowBorderDxfId="58" tableBorderDxfId="56" totalsRowBorderDxfId="55">
  <autoFilter ref="A1:D2" xr:uid="{E642D07C-4DBE-4BD3-8C42-5C23E68E164A}">
    <filterColumn colId="0" hiddenButton="1"/>
    <filterColumn colId="1" hiddenButton="1"/>
    <filterColumn colId="2" hiddenButton="1"/>
    <filterColumn colId="3" hiddenButton="1"/>
  </autoFilter>
  <tableColumns count="4">
    <tableColumn id="4" xr3:uid="{5E103F59-64A5-49F1-AF55-677EFA8DEF19}" name="实验室" dataDxfId="54"/>
    <tableColumn id="1" xr3:uid="{F3F05C5C-167C-4CDD-9958-D5162071E9C7}" name="项目编码" dataDxfId="53"/>
    <tableColumn id="2" xr3:uid="{7AFA8FE5-AB1F-49B2-A352-B6FD2A411416}" name="项目名称" dataDxfId="52"/>
    <tableColumn id="3" xr3:uid="{7818097B-E376-4E02-A7E2-64FADAB33274}" name="允许总误差(TEa)(%)" dataDxfId="51"/>
  </tableColumns>
  <tableStyleInfo name="TableStyleLight2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54684-0EA9-418B-AB50-579E9193C95A}" name="样本表_3" displayName="样本表_3" ref="A4:G9" totalsRowShown="0" headerRowDxfId="50" dataDxfId="48" headerRowBorderDxfId="49" tableBorderDxfId="47" totalsRowBorderDxfId="46">
  <autoFilter ref="A4:G9" xr:uid="{E5B61C70-0E63-487D-9BC7-97A6FE32EB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E495922-9689-440E-8389-64553DB12593}" name="样本编号" dataDxfId="45"/>
    <tableColumn id="2" xr3:uid="{7591E728-9555-427B-ABA0-08451CAF2791}" name="本室测定值" dataDxfId="44"/>
    <tableColumn id="3" xr3:uid="{56AC5624-DCC0-4AC0-A349-6120D36C4675}" name="同组均值或中位数" dataDxfId="43"/>
    <tableColumn id="5" xr3:uid="{E37233CE-C9DD-4A36-A51A-D8F09362EB67}" name="同组标准差" dataDxfId="42"/>
    <tableColumn id="11" xr3:uid="{01C46DB0-F4CB-457A-A4FA-C926C71D627A}" name="相对偏倚(%)" dataDxfId="41">
      <calculatedColumnFormula>(样本表_3[[#This Row],[本室测定值]]-样本表_3[[#This Row],[同组均值或中位数]])/样本表_3[[#This Row],[同组均值或中位数]]*100</calculatedColumnFormula>
    </tableColumn>
    <tableColumn id="8" xr3:uid="{A4A3268D-2CBE-47B9-A3EA-DE1531C4A209}" name="标准差指数(SDI)" dataDxfId="40">
      <calculatedColumnFormula>(样本表_3[[#This Row],[本室测定值]]-样本表_3[[#This Row],[同组均值或中位数]])/样本表_3[[#This Row],[同组标准差]]</calculatedColumnFormula>
    </tableColumn>
    <tableColumn id="9" xr3:uid="{57F36F52-39F1-4781-BC87-996FACC47D8A}" name="SDI绝对值" dataDxfId="39">
      <calculatedColumnFormula>ABS(样本表_3[[#This Row],[标准差指数(SDI)]])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F926B3-7D10-47C4-9EDE-B98E24916989}" name="计算表_4" displayName="计算表_4" ref="E1:G2" totalsRowShown="0" headerRowDxfId="38" dataDxfId="36" headerRowBorderDxfId="37" tableBorderDxfId="35" totalsRowBorderDxfId="34">
  <autoFilter ref="E1:G2" xr:uid="{C02449F2-1D5D-4713-8031-C09E6C4658A7}">
    <filterColumn colId="0" hiddenButton="1"/>
    <filterColumn colId="1" hiddenButton="1"/>
    <filterColumn colId="2" hiddenButton="1"/>
  </autoFilter>
  <tableColumns count="3">
    <tableColumn id="1" xr3:uid="{F3231E5F-AEB2-41CE-871C-7F17EB3D495D}" name="平均SDI的绝对值" dataDxfId="33">
      <calculatedColumnFormula>ABS(AVERAGE(样本表_3[标准差指数(SDI)]))</calculatedColumnFormula>
    </tableColumn>
    <tableColumn id="2" xr3:uid="{8AC7B862-0172-4882-B487-D6C69E829552}" name="75%TEa" dataDxfId="32">
      <calculatedColumnFormula array="1">项目表_2[允许总误差(TEa)(%)]*0.75</calculatedColumnFormula>
    </tableColumn>
    <tableColumn id="3" xr3:uid="{16A97FC2-B28C-4AA2-B2D0-E368FBEFCFEA}" name="50%TEa" dataDxfId="31">
      <calculatedColumnFormula array="1">项目表_2[允许总误差(TEa)(%)]*0.5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B1DC-75AB-4DC4-9798-834E57E23377}">
  <dimension ref="A1:E332"/>
  <sheetViews>
    <sheetView workbookViewId="0"/>
  </sheetViews>
  <sheetFormatPr defaultRowHeight="14.25"/>
  <cols>
    <col min="1" max="1" width="5.25" style="1" bestFit="1" customWidth="1"/>
    <col min="2" max="2" width="9" style="1" bestFit="1" customWidth="1"/>
    <col min="3" max="3" width="52.625" style="1" bestFit="1" customWidth="1"/>
    <col min="4" max="4" width="95.25" style="1" bestFit="1" customWidth="1"/>
    <col min="5" max="5" width="5.5" style="1" bestFit="1" customWidth="1"/>
    <col min="6" max="16384" width="9" style="1"/>
  </cols>
  <sheetData>
    <row r="1" spans="1:5">
      <c r="A1" s="2" t="s">
        <v>328</v>
      </c>
      <c r="B1" s="3" t="s">
        <v>3</v>
      </c>
      <c r="C1" s="2" t="s">
        <v>4</v>
      </c>
      <c r="D1" s="2" t="s">
        <v>8</v>
      </c>
      <c r="E1" s="2">
        <v>2024</v>
      </c>
    </row>
    <row r="2" spans="1:5">
      <c r="A2" s="2">
        <v>1</v>
      </c>
      <c r="B2" s="3" t="s">
        <v>9</v>
      </c>
      <c r="C2" s="2" t="s">
        <v>10</v>
      </c>
      <c r="D2" s="2" t="s">
        <v>329</v>
      </c>
      <c r="E2" s="2">
        <v>1</v>
      </c>
    </row>
    <row r="3" spans="1:5">
      <c r="A3" s="2">
        <v>2</v>
      </c>
      <c r="B3" s="3" t="s">
        <v>80</v>
      </c>
      <c r="C3" s="2" t="s">
        <v>81</v>
      </c>
      <c r="D3" s="2" t="s">
        <v>330</v>
      </c>
      <c r="E3" s="2">
        <v>1</v>
      </c>
    </row>
    <row r="4" spans="1:5">
      <c r="A4" s="2">
        <v>3</v>
      </c>
      <c r="B4" s="3" t="s">
        <v>331</v>
      </c>
      <c r="C4" s="2" t="s">
        <v>332</v>
      </c>
      <c r="D4" s="2"/>
      <c r="E4" s="2"/>
    </row>
    <row r="5" spans="1:5">
      <c r="A5" s="2">
        <v>4</v>
      </c>
      <c r="B5" s="3" t="s">
        <v>90</v>
      </c>
      <c r="C5" s="2" t="s">
        <v>91</v>
      </c>
      <c r="D5" s="2" t="s">
        <v>91</v>
      </c>
      <c r="E5" s="2">
        <v>1</v>
      </c>
    </row>
    <row r="6" spans="1:5">
      <c r="A6" s="2">
        <v>5</v>
      </c>
      <c r="B6" s="3" t="s">
        <v>123</v>
      </c>
      <c r="C6" s="2" t="s">
        <v>124</v>
      </c>
      <c r="D6" s="2" t="s">
        <v>333</v>
      </c>
      <c r="E6" s="2">
        <v>1</v>
      </c>
    </row>
    <row r="7" spans="1:5">
      <c r="A7" s="2">
        <v>6</v>
      </c>
      <c r="B7" s="3" t="s">
        <v>334</v>
      </c>
      <c r="C7" s="2" t="s">
        <v>335</v>
      </c>
      <c r="D7" s="2"/>
      <c r="E7" s="2"/>
    </row>
    <row r="8" spans="1:5">
      <c r="A8" s="2">
        <v>7</v>
      </c>
      <c r="B8" s="3" t="s">
        <v>336</v>
      </c>
      <c r="C8" s="2" t="s">
        <v>337</v>
      </c>
      <c r="D8" s="2"/>
      <c r="E8" s="2"/>
    </row>
    <row r="9" spans="1:5">
      <c r="A9" s="2">
        <v>8</v>
      </c>
      <c r="B9" s="3" t="s">
        <v>139</v>
      </c>
      <c r="C9" s="2" t="s">
        <v>140</v>
      </c>
      <c r="D9" s="2" t="s">
        <v>140</v>
      </c>
      <c r="E9" s="2">
        <v>1</v>
      </c>
    </row>
    <row r="10" spans="1:5">
      <c r="A10" s="2">
        <v>9</v>
      </c>
      <c r="B10" s="3" t="s">
        <v>159</v>
      </c>
      <c r="C10" s="2" t="s">
        <v>160</v>
      </c>
      <c r="D10" s="2" t="s">
        <v>160</v>
      </c>
      <c r="E10" s="2">
        <v>1</v>
      </c>
    </row>
    <row r="11" spans="1:5">
      <c r="A11" s="2">
        <v>10</v>
      </c>
      <c r="B11" s="3" t="s">
        <v>163</v>
      </c>
      <c r="C11" s="2" t="s">
        <v>164</v>
      </c>
      <c r="D11" s="2" t="s">
        <v>338</v>
      </c>
      <c r="E11" s="2">
        <v>1</v>
      </c>
    </row>
    <row r="12" spans="1:5">
      <c r="A12" s="2">
        <v>11</v>
      </c>
      <c r="B12" s="3" t="s">
        <v>177</v>
      </c>
      <c r="C12" s="2" t="s">
        <v>178</v>
      </c>
      <c r="D12" s="2" t="s">
        <v>178</v>
      </c>
      <c r="E12" s="2">
        <v>1</v>
      </c>
    </row>
    <row r="13" spans="1:5">
      <c r="A13" s="2">
        <v>12</v>
      </c>
      <c r="B13" s="3" t="s">
        <v>185</v>
      </c>
      <c r="C13" s="2" t="s">
        <v>186</v>
      </c>
      <c r="D13" s="2" t="s">
        <v>186</v>
      </c>
      <c r="E13" s="2">
        <v>1</v>
      </c>
    </row>
    <row r="14" spans="1:5">
      <c r="A14" s="2">
        <v>13</v>
      </c>
      <c r="B14" s="3" t="s">
        <v>339</v>
      </c>
      <c r="C14" s="2" t="s">
        <v>340</v>
      </c>
      <c r="D14" s="2"/>
      <c r="E14" s="2"/>
    </row>
    <row r="15" spans="1:5">
      <c r="A15" s="2">
        <v>14</v>
      </c>
      <c r="B15" s="3" t="s">
        <v>341</v>
      </c>
      <c r="C15" s="2" t="s">
        <v>342</v>
      </c>
      <c r="D15" s="2"/>
      <c r="E15" s="2"/>
    </row>
    <row r="16" spans="1:5">
      <c r="A16" s="2">
        <v>15</v>
      </c>
      <c r="B16" s="3" t="s">
        <v>343</v>
      </c>
      <c r="C16" s="2" t="s">
        <v>344</v>
      </c>
      <c r="D16" s="2" t="s">
        <v>344</v>
      </c>
      <c r="E16" s="2">
        <v>1</v>
      </c>
    </row>
    <row r="17" spans="1:5">
      <c r="A17" s="2">
        <v>16</v>
      </c>
      <c r="B17" s="3" t="s">
        <v>345</v>
      </c>
      <c r="C17" s="2" t="s">
        <v>346</v>
      </c>
      <c r="D17" s="2"/>
      <c r="E17" s="2"/>
    </row>
    <row r="18" spans="1:5">
      <c r="A18" s="2">
        <v>17</v>
      </c>
      <c r="B18" s="3" t="s">
        <v>198</v>
      </c>
      <c r="C18" s="2" t="s">
        <v>199</v>
      </c>
      <c r="D18" s="2" t="s">
        <v>347</v>
      </c>
      <c r="E18" s="2">
        <v>1</v>
      </c>
    </row>
    <row r="19" spans="1:5">
      <c r="A19" s="2">
        <v>18</v>
      </c>
      <c r="B19" s="3" t="s">
        <v>348</v>
      </c>
      <c r="C19" s="2" t="s">
        <v>349</v>
      </c>
      <c r="D19" s="2" t="s">
        <v>350</v>
      </c>
      <c r="E19" s="2">
        <v>1</v>
      </c>
    </row>
    <row r="20" spans="1:5">
      <c r="A20" s="2">
        <v>19</v>
      </c>
      <c r="B20" s="3" t="s">
        <v>351</v>
      </c>
      <c r="C20" s="2" t="s">
        <v>352</v>
      </c>
      <c r="D20" s="2"/>
      <c r="E20" s="2"/>
    </row>
    <row r="21" spans="1:5">
      <c r="A21" s="2">
        <v>20</v>
      </c>
      <c r="B21" s="3" t="s">
        <v>353</v>
      </c>
      <c r="C21" s="2" t="s">
        <v>354</v>
      </c>
      <c r="D21" s="2" t="s">
        <v>354</v>
      </c>
      <c r="E21" s="2">
        <v>1</v>
      </c>
    </row>
    <row r="22" spans="1:5">
      <c r="A22" s="2">
        <v>21</v>
      </c>
      <c r="B22" s="3" t="s">
        <v>355</v>
      </c>
      <c r="C22" s="2" t="s">
        <v>356</v>
      </c>
      <c r="D22" s="2"/>
      <c r="E22" s="2"/>
    </row>
    <row r="23" spans="1:5">
      <c r="A23" s="2">
        <v>22</v>
      </c>
      <c r="B23" s="3" t="s">
        <v>357</v>
      </c>
      <c r="C23" s="2" t="s">
        <v>358</v>
      </c>
      <c r="D23" s="2" t="s">
        <v>358</v>
      </c>
      <c r="E23" s="2">
        <v>1</v>
      </c>
    </row>
    <row r="24" spans="1:5">
      <c r="A24" s="2">
        <v>23</v>
      </c>
      <c r="B24" s="3" t="s">
        <v>359</v>
      </c>
      <c r="C24" s="2" t="s">
        <v>360</v>
      </c>
      <c r="D24" s="2"/>
      <c r="E24" s="2"/>
    </row>
    <row r="25" spans="1:5">
      <c r="A25" s="2">
        <v>24</v>
      </c>
      <c r="B25" s="3" t="s">
        <v>202</v>
      </c>
      <c r="C25" s="2" t="s">
        <v>203</v>
      </c>
      <c r="D25" s="2" t="s">
        <v>361</v>
      </c>
      <c r="E25" s="2">
        <v>1</v>
      </c>
    </row>
    <row r="26" spans="1:5">
      <c r="A26" s="2">
        <v>25</v>
      </c>
      <c r="B26" s="3" t="s">
        <v>210</v>
      </c>
      <c r="C26" s="2" t="s">
        <v>211</v>
      </c>
      <c r="D26" s="2" t="s">
        <v>211</v>
      </c>
      <c r="E26" s="2">
        <v>1</v>
      </c>
    </row>
    <row r="27" spans="1:5">
      <c r="A27" s="2">
        <v>26</v>
      </c>
      <c r="B27" s="3" t="s">
        <v>362</v>
      </c>
      <c r="C27" s="2" t="s">
        <v>363</v>
      </c>
      <c r="D27" s="2"/>
      <c r="E27" s="2"/>
    </row>
    <row r="28" spans="1:5">
      <c r="A28" s="2">
        <v>27</v>
      </c>
      <c r="B28" s="3" t="s">
        <v>364</v>
      </c>
      <c r="C28" s="2" t="s">
        <v>365</v>
      </c>
      <c r="D28" s="2"/>
      <c r="E28" s="2"/>
    </row>
    <row r="29" spans="1:5">
      <c r="A29" s="2">
        <v>28</v>
      </c>
      <c r="B29" s="3" t="s">
        <v>366</v>
      </c>
      <c r="C29" s="2" t="s">
        <v>367</v>
      </c>
      <c r="D29" s="2" t="s">
        <v>367</v>
      </c>
      <c r="E29" s="2">
        <v>1</v>
      </c>
    </row>
    <row r="30" spans="1:5">
      <c r="A30" s="2">
        <v>29</v>
      </c>
      <c r="B30" s="3" t="s">
        <v>368</v>
      </c>
      <c r="C30" s="2" t="s">
        <v>369</v>
      </c>
      <c r="D30" s="2"/>
      <c r="E30" s="2"/>
    </row>
    <row r="31" spans="1:5">
      <c r="A31" s="2">
        <v>30</v>
      </c>
      <c r="B31" s="3" t="s">
        <v>370</v>
      </c>
      <c r="C31" s="2" t="s">
        <v>371</v>
      </c>
      <c r="D31" s="2" t="s">
        <v>372</v>
      </c>
      <c r="E31" s="2">
        <v>1</v>
      </c>
    </row>
    <row r="32" spans="1:5">
      <c r="A32" s="2">
        <v>31</v>
      </c>
      <c r="B32" s="3" t="s">
        <v>373</v>
      </c>
      <c r="C32" s="2" t="s">
        <v>374</v>
      </c>
      <c r="D32" s="2"/>
      <c r="E32" s="2"/>
    </row>
    <row r="33" spans="1:5">
      <c r="A33" s="2">
        <v>32</v>
      </c>
      <c r="B33" s="3" t="s">
        <v>375</v>
      </c>
      <c r="C33" s="2" t="s">
        <v>376</v>
      </c>
      <c r="D33" s="2"/>
      <c r="E33" s="2"/>
    </row>
    <row r="34" spans="1:5">
      <c r="A34" s="2">
        <v>33</v>
      </c>
      <c r="B34" s="3" t="s">
        <v>377</v>
      </c>
      <c r="C34" s="2" t="s">
        <v>378</v>
      </c>
      <c r="D34" s="2"/>
      <c r="E34" s="2"/>
    </row>
    <row r="35" spans="1:5">
      <c r="A35" s="2">
        <v>34</v>
      </c>
      <c r="B35" s="3" t="s">
        <v>379</v>
      </c>
      <c r="C35" s="2" t="s">
        <v>380</v>
      </c>
      <c r="D35" s="2"/>
      <c r="E35" s="2"/>
    </row>
    <row r="36" spans="1:5">
      <c r="A36" s="2">
        <v>35</v>
      </c>
      <c r="B36" s="3" t="s">
        <v>381</v>
      </c>
      <c r="C36" s="2" t="s">
        <v>382</v>
      </c>
      <c r="D36" s="2" t="s">
        <v>382</v>
      </c>
      <c r="E36" s="2">
        <v>1</v>
      </c>
    </row>
    <row r="37" spans="1:5">
      <c r="A37" s="2">
        <v>36</v>
      </c>
      <c r="B37" s="3" t="s">
        <v>383</v>
      </c>
      <c r="C37" s="2" t="s">
        <v>384</v>
      </c>
      <c r="D37" s="2" t="s">
        <v>384</v>
      </c>
      <c r="E37" s="2">
        <v>1</v>
      </c>
    </row>
    <row r="38" spans="1:5">
      <c r="A38" s="2">
        <v>37</v>
      </c>
      <c r="B38" s="3" t="s">
        <v>385</v>
      </c>
      <c r="C38" s="2" t="s">
        <v>386</v>
      </c>
      <c r="D38" s="2" t="s">
        <v>386</v>
      </c>
      <c r="E38" s="2">
        <v>1</v>
      </c>
    </row>
    <row r="39" spans="1:5">
      <c r="A39" s="2">
        <v>38</v>
      </c>
      <c r="B39" s="3" t="s">
        <v>219</v>
      </c>
      <c r="C39" s="2" t="s">
        <v>220</v>
      </c>
      <c r="D39" s="2" t="s">
        <v>220</v>
      </c>
      <c r="E39" s="2">
        <v>1</v>
      </c>
    </row>
    <row r="40" spans="1:5">
      <c r="A40" s="2">
        <v>39</v>
      </c>
      <c r="B40" s="3" t="s">
        <v>221</v>
      </c>
      <c r="C40" s="2" t="s">
        <v>222</v>
      </c>
      <c r="D40" s="2" t="s">
        <v>222</v>
      </c>
      <c r="E40" s="2">
        <v>1</v>
      </c>
    </row>
    <row r="41" spans="1:5">
      <c r="A41" s="2">
        <v>40</v>
      </c>
      <c r="B41" s="3" t="s">
        <v>223</v>
      </c>
      <c r="C41" s="2" t="s">
        <v>224</v>
      </c>
      <c r="D41" s="2" t="s">
        <v>224</v>
      </c>
      <c r="E41" s="2">
        <v>1</v>
      </c>
    </row>
    <row r="42" spans="1:5">
      <c r="A42" s="2">
        <v>41</v>
      </c>
      <c r="B42" s="3" t="s">
        <v>387</v>
      </c>
      <c r="C42" s="2" t="s">
        <v>388</v>
      </c>
      <c r="D42" s="2" t="s">
        <v>388</v>
      </c>
      <c r="E42" s="2">
        <v>1</v>
      </c>
    </row>
    <row r="43" spans="1:5">
      <c r="A43" s="2">
        <v>42</v>
      </c>
      <c r="B43" s="3" t="s">
        <v>229</v>
      </c>
      <c r="C43" s="2" t="s">
        <v>230</v>
      </c>
      <c r="D43" s="2" t="s">
        <v>230</v>
      </c>
      <c r="E43" s="2">
        <v>1</v>
      </c>
    </row>
    <row r="44" spans="1:5">
      <c r="A44" s="2">
        <v>43</v>
      </c>
      <c r="B44" s="3" t="s">
        <v>389</v>
      </c>
      <c r="C44" s="2" t="s">
        <v>390</v>
      </c>
      <c r="D44" s="2"/>
      <c r="E44" s="2"/>
    </row>
    <row r="45" spans="1:5">
      <c r="A45" s="2">
        <v>44</v>
      </c>
      <c r="B45" s="3" t="s">
        <v>391</v>
      </c>
      <c r="C45" s="2" t="s">
        <v>392</v>
      </c>
      <c r="D45" s="2"/>
      <c r="E45" s="2"/>
    </row>
    <row r="46" spans="1:5">
      <c r="A46" s="2">
        <v>45</v>
      </c>
      <c r="B46" s="3" t="s">
        <v>393</v>
      </c>
      <c r="C46" s="2" t="s">
        <v>394</v>
      </c>
      <c r="D46" s="2"/>
      <c r="E46" s="2"/>
    </row>
    <row r="47" spans="1:5">
      <c r="A47" s="2">
        <v>46</v>
      </c>
      <c r="B47" s="3" t="s">
        <v>395</v>
      </c>
      <c r="C47" s="2" t="s">
        <v>396</v>
      </c>
      <c r="D47" s="2"/>
      <c r="E47" s="2"/>
    </row>
    <row r="48" spans="1:5">
      <c r="A48" s="2">
        <v>47</v>
      </c>
      <c r="B48" s="3" t="s">
        <v>397</v>
      </c>
      <c r="C48" s="2" t="s">
        <v>398</v>
      </c>
      <c r="D48" s="2"/>
      <c r="E48" s="2"/>
    </row>
    <row r="49" spans="1:5">
      <c r="A49" s="2">
        <v>48</v>
      </c>
      <c r="B49" s="3" t="s">
        <v>399</v>
      </c>
      <c r="C49" s="2" t="s">
        <v>400</v>
      </c>
      <c r="D49" s="2"/>
      <c r="E49" s="2"/>
    </row>
    <row r="50" spans="1:5">
      <c r="A50" s="2">
        <v>49</v>
      </c>
      <c r="B50" s="3" t="s">
        <v>401</v>
      </c>
      <c r="C50" s="2" t="s">
        <v>402</v>
      </c>
      <c r="D50" s="2"/>
      <c r="E50" s="2"/>
    </row>
    <row r="51" spans="1:5">
      <c r="A51" s="2">
        <v>50</v>
      </c>
      <c r="B51" s="3" t="s">
        <v>403</v>
      </c>
      <c r="C51" s="2" t="s">
        <v>404</v>
      </c>
      <c r="D51" s="2"/>
      <c r="E51" s="2"/>
    </row>
    <row r="52" spans="1:5">
      <c r="A52" s="2">
        <v>51</v>
      </c>
      <c r="B52" s="3" t="s">
        <v>405</v>
      </c>
      <c r="C52" s="2" t="s">
        <v>406</v>
      </c>
      <c r="D52" s="2" t="s">
        <v>406</v>
      </c>
      <c r="E52" s="2">
        <v>1</v>
      </c>
    </row>
    <row r="53" spans="1:5">
      <c r="A53" s="2">
        <v>52</v>
      </c>
      <c r="B53" s="3" t="s">
        <v>407</v>
      </c>
      <c r="C53" s="2" t="s">
        <v>408</v>
      </c>
      <c r="D53" s="2" t="s">
        <v>408</v>
      </c>
      <c r="E53" s="2">
        <v>1</v>
      </c>
    </row>
    <row r="54" spans="1:5">
      <c r="A54" s="2">
        <v>53</v>
      </c>
      <c r="B54" s="3" t="s">
        <v>409</v>
      </c>
      <c r="C54" s="2" t="s">
        <v>410</v>
      </c>
      <c r="D54" s="2" t="s">
        <v>410</v>
      </c>
      <c r="E54" s="2">
        <v>1</v>
      </c>
    </row>
    <row r="55" spans="1:5">
      <c r="A55" s="2">
        <v>54</v>
      </c>
      <c r="B55" s="3" t="s">
        <v>411</v>
      </c>
      <c r="C55" s="2" t="s">
        <v>412</v>
      </c>
      <c r="D55" s="2"/>
      <c r="E55" s="2"/>
    </row>
    <row r="56" spans="1:5">
      <c r="A56" s="2">
        <v>55</v>
      </c>
      <c r="B56" s="3" t="s">
        <v>413</v>
      </c>
      <c r="C56" s="2" t="s">
        <v>414</v>
      </c>
      <c r="D56" s="2"/>
      <c r="E56" s="2"/>
    </row>
    <row r="57" spans="1:5">
      <c r="A57" s="2">
        <v>56</v>
      </c>
      <c r="B57" s="3" t="s">
        <v>415</v>
      </c>
      <c r="C57" s="2" t="s">
        <v>416</v>
      </c>
      <c r="D57" s="2"/>
      <c r="E57" s="2"/>
    </row>
    <row r="58" spans="1:5">
      <c r="A58" s="2">
        <v>57</v>
      </c>
      <c r="B58" s="3" t="s">
        <v>417</v>
      </c>
      <c r="C58" s="2" t="s">
        <v>418</v>
      </c>
      <c r="D58" s="2"/>
      <c r="E58" s="2"/>
    </row>
    <row r="59" spans="1:5">
      <c r="A59" s="2">
        <v>58</v>
      </c>
      <c r="B59" s="3" t="s">
        <v>419</v>
      </c>
      <c r="C59" s="2" t="s">
        <v>420</v>
      </c>
      <c r="D59" s="2"/>
      <c r="E59" s="2"/>
    </row>
    <row r="60" spans="1:5">
      <c r="A60" s="2">
        <v>59</v>
      </c>
      <c r="B60" s="3" t="s">
        <v>421</v>
      </c>
      <c r="C60" s="2" t="s">
        <v>422</v>
      </c>
      <c r="D60" s="2"/>
      <c r="E60" s="2"/>
    </row>
    <row r="61" spans="1:5">
      <c r="A61" s="2">
        <v>60</v>
      </c>
      <c r="B61" s="3" t="s">
        <v>423</v>
      </c>
      <c r="C61" s="2" t="s">
        <v>424</v>
      </c>
      <c r="D61" s="2"/>
      <c r="E61" s="2"/>
    </row>
    <row r="62" spans="1:5">
      <c r="A62" s="2">
        <v>61</v>
      </c>
      <c r="B62" s="3" t="s">
        <v>425</v>
      </c>
      <c r="C62" s="2" t="s">
        <v>426</v>
      </c>
      <c r="D62" s="2"/>
      <c r="E62" s="2"/>
    </row>
    <row r="63" spans="1:5">
      <c r="A63" s="2">
        <v>62</v>
      </c>
      <c r="B63" s="3" t="s">
        <v>427</v>
      </c>
      <c r="C63" s="2" t="s">
        <v>428</v>
      </c>
      <c r="D63" s="2"/>
      <c r="E63" s="2"/>
    </row>
    <row r="64" spans="1:5">
      <c r="A64" s="2">
        <v>63</v>
      </c>
      <c r="B64" s="3" t="s">
        <v>429</v>
      </c>
      <c r="C64" s="2" t="s">
        <v>430</v>
      </c>
      <c r="D64" s="2"/>
      <c r="E64" s="2"/>
    </row>
    <row r="65" spans="1:5">
      <c r="A65" s="2">
        <v>64</v>
      </c>
      <c r="B65" s="3" t="s">
        <v>431</v>
      </c>
      <c r="C65" s="2" t="s">
        <v>432</v>
      </c>
      <c r="D65" s="2"/>
      <c r="E65" s="2"/>
    </row>
    <row r="66" spans="1:5">
      <c r="A66" s="2">
        <v>65</v>
      </c>
      <c r="B66" s="3" t="s">
        <v>433</v>
      </c>
      <c r="C66" s="2" t="s">
        <v>434</v>
      </c>
      <c r="D66" s="2"/>
      <c r="E66" s="2"/>
    </row>
    <row r="67" spans="1:5">
      <c r="A67" s="2">
        <v>66</v>
      </c>
      <c r="B67" s="3" t="s">
        <v>435</v>
      </c>
      <c r="C67" s="2" t="s">
        <v>436</v>
      </c>
      <c r="D67" s="2"/>
      <c r="E67" s="2"/>
    </row>
    <row r="68" spans="1:5">
      <c r="A68" s="2">
        <v>67</v>
      </c>
      <c r="B68" s="3" t="s">
        <v>233</v>
      </c>
      <c r="C68" s="2" t="s">
        <v>234</v>
      </c>
      <c r="D68" s="2" t="s">
        <v>234</v>
      </c>
      <c r="E68" s="2">
        <v>1</v>
      </c>
    </row>
    <row r="69" spans="1:5">
      <c r="A69" s="2">
        <v>68</v>
      </c>
      <c r="B69" s="3" t="s">
        <v>236</v>
      </c>
      <c r="C69" s="2" t="s">
        <v>237</v>
      </c>
      <c r="D69" s="2" t="s">
        <v>437</v>
      </c>
      <c r="E69" s="2">
        <v>1</v>
      </c>
    </row>
    <row r="70" spans="1:5">
      <c r="A70" s="2">
        <v>69</v>
      </c>
      <c r="B70" s="3" t="s">
        <v>241</v>
      </c>
      <c r="C70" s="2" t="s">
        <v>242</v>
      </c>
      <c r="D70" s="2" t="s">
        <v>242</v>
      </c>
      <c r="E70" s="2">
        <v>1</v>
      </c>
    </row>
    <row r="71" spans="1:5">
      <c r="A71" s="2">
        <v>70</v>
      </c>
      <c r="B71" s="3" t="s">
        <v>438</v>
      </c>
      <c r="C71" s="2" t="s">
        <v>439</v>
      </c>
      <c r="D71" s="2" t="s">
        <v>439</v>
      </c>
      <c r="E71" s="2">
        <v>1</v>
      </c>
    </row>
    <row r="72" spans="1:5">
      <c r="A72" s="2">
        <v>71</v>
      </c>
      <c r="B72" s="3" t="s">
        <v>440</v>
      </c>
      <c r="C72" s="2" t="s">
        <v>441</v>
      </c>
      <c r="D72" s="2" t="s">
        <v>441</v>
      </c>
      <c r="E72" s="2">
        <v>1</v>
      </c>
    </row>
    <row r="73" spans="1:5">
      <c r="A73" s="2">
        <v>72</v>
      </c>
      <c r="B73" s="3" t="s">
        <v>442</v>
      </c>
      <c r="C73" s="2" t="s">
        <v>443</v>
      </c>
      <c r="D73" s="2"/>
      <c r="E73" s="2"/>
    </row>
    <row r="74" spans="1:5">
      <c r="A74" s="2">
        <v>73</v>
      </c>
      <c r="B74" s="3" t="s">
        <v>444</v>
      </c>
      <c r="C74" s="2" t="s">
        <v>445</v>
      </c>
      <c r="D74" s="2"/>
      <c r="E74" s="2"/>
    </row>
    <row r="75" spans="1:5">
      <c r="A75" s="2">
        <v>74</v>
      </c>
      <c r="B75" s="3" t="s">
        <v>243</v>
      </c>
      <c r="C75" s="2" t="s">
        <v>244</v>
      </c>
      <c r="D75" s="2" t="s">
        <v>446</v>
      </c>
      <c r="E75" s="2">
        <v>1</v>
      </c>
    </row>
    <row r="76" spans="1:5">
      <c r="A76" s="2">
        <v>75</v>
      </c>
      <c r="B76" s="3" t="s">
        <v>447</v>
      </c>
      <c r="C76" s="2" t="s">
        <v>448</v>
      </c>
      <c r="D76" s="2"/>
      <c r="E76" s="2"/>
    </row>
    <row r="77" spans="1:5">
      <c r="A77" s="2">
        <v>76</v>
      </c>
      <c r="B77" s="3" t="s">
        <v>449</v>
      </c>
      <c r="C77" s="2" t="s">
        <v>450</v>
      </c>
      <c r="D77" s="2"/>
      <c r="E77" s="2"/>
    </row>
    <row r="78" spans="1:5">
      <c r="A78" s="2">
        <v>77</v>
      </c>
      <c r="B78" s="3" t="s">
        <v>451</v>
      </c>
      <c r="C78" s="2" t="s">
        <v>452</v>
      </c>
      <c r="D78" s="2"/>
      <c r="E78" s="2"/>
    </row>
    <row r="79" spans="1:5">
      <c r="A79" s="2">
        <v>78</v>
      </c>
      <c r="B79" s="3" t="s">
        <v>453</v>
      </c>
      <c r="C79" s="2" t="s">
        <v>454</v>
      </c>
      <c r="D79" s="2" t="s">
        <v>454</v>
      </c>
      <c r="E79" s="2">
        <v>1</v>
      </c>
    </row>
    <row r="80" spans="1:5">
      <c r="A80" s="2">
        <v>79</v>
      </c>
      <c r="B80" s="3" t="s">
        <v>455</v>
      </c>
      <c r="C80" s="2" t="s">
        <v>456</v>
      </c>
      <c r="D80" s="2"/>
      <c r="E80" s="2"/>
    </row>
    <row r="81" spans="1:5">
      <c r="A81" s="2">
        <v>80</v>
      </c>
      <c r="B81" s="3" t="s">
        <v>457</v>
      </c>
      <c r="C81" s="2" t="s">
        <v>458</v>
      </c>
      <c r="D81" s="2"/>
      <c r="E81" s="2"/>
    </row>
    <row r="82" spans="1:5">
      <c r="A82" s="2">
        <v>81</v>
      </c>
      <c r="B82" s="3" t="s">
        <v>459</v>
      </c>
      <c r="C82" s="2" t="s">
        <v>460</v>
      </c>
      <c r="D82" s="2"/>
      <c r="E82" s="2"/>
    </row>
    <row r="83" spans="1:5">
      <c r="A83" s="2">
        <v>82</v>
      </c>
      <c r="B83" s="3" t="s">
        <v>461</v>
      </c>
      <c r="C83" s="2" t="s">
        <v>462</v>
      </c>
      <c r="D83" s="2"/>
      <c r="E83" s="2"/>
    </row>
    <row r="84" spans="1:5">
      <c r="A84" s="2">
        <v>83</v>
      </c>
      <c r="B84" s="3" t="s">
        <v>463</v>
      </c>
      <c r="C84" s="2" t="s">
        <v>464</v>
      </c>
      <c r="D84" s="2"/>
      <c r="E84" s="2"/>
    </row>
    <row r="85" spans="1:5">
      <c r="A85" s="2">
        <v>84</v>
      </c>
      <c r="B85" s="3" t="s">
        <v>465</v>
      </c>
      <c r="C85" s="2" t="s">
        <v>466</v>
      </c>
      <c r="D85" s="2"/>
      <c r="E85" s="2"/>
    </row>
    <row r="86" spans="1:5">
      <c r="A86" s="2">
        <v>85</v>
      </c>
      <c r="B86" s="3" t="s">
        <v>467</v>
      </c>
      <c r="C86" s="2" t="s">
        <v>468</v>
      </c>
      <c r="D86" s="2"/>
      <c r="E86" s="2"/>
    </row>
    <row r="87" spans="1:5">
      <c r="A87" s="2">
        <v>86</v>
      </c>
      <c r="B87" s="3" t="s">
        <v>245</v>
      </c>
      <c r="C87" s="2" t="s">
        <v>246</v>
      </c>
      <c r="D87" s="2" t="s">
        <v>246</v>
      </c>
      <c r="E87" s="2">
        <v>1</v>
      </c>
    </row>
    <row r="88" spans="1:5">
      <c r="A88" s="2">
        <v>87</v>
      </c>
      <c r="B88" s="3" t="s">
        <v>469</v>
      </c>
      <c r="C88" s="2" t="s">
        <v>470</v>
      </c>
      <c r="D88" s="2" t="s">
        <v>471</v>
      </c>
      <c r="E88" s="2">
        <v>1</v>
      </c>
    </row>
    <row r="89" spans="1:5">
      <c r="A89" s="2">
        <v>88</v>
      </c>
      <c r="B89" s="3" t="s">
        <v>472</v>
      </c>
      <c r="C89" s="2" t="s">
        <v>473</v>
      </c>
      <c r="D89" s="2"/>
      <c r="E89" s="2"/>
    </row>
    <row r="90" spans="1:5">
      <c r="A90" s="2">
        <v>89</v>
      </c>
      <c r="B90" s="3" t="s">
        <v>474</v>
      </c>
      <c r="C90" s="2" t="s">
        <v>475</v>
      </c>
      <c r="D90" s="2"/>
      <c r="E90" s="2"/>
    </row>
    <row r="91" spans="1:5">
      <c r="A91" s="2">
        <v>90</v>
      </c>
      <c r="B91" s="3" t="s">
        <v>476</v>
      </c>
      <c r="C91" s="2" t="s">
        <v>477</v>
      </c>
      <c r="D91" s="2"/>
      <c r="E91" s="2"/>
    </row>
    <row r="92" spans="1:5">
      <c r="A92" s="2">
        <v>91</v>
      </c>
      <c r="B92" s="3" t="s">
        <v>478</v>
      </c>
      <c r="C92" s="2" t="s">
        <v>479</v>
      </c>
      <c r="D92" s="2" t="s">
        <v>479</v>
      </c>
      <c r="E92" s="2">
        <v>1</v>
      </c>
    </row>
    <row r="93" spans="1:5">
      <c r="A93" s="2">
        <v>92</v>
      </c>
      <c r="B93" s="3" t="s">
        <v>480</v>
      </c>
      <c r="C93" s="2" t="s">
        <v>481</v>
      </c>
      <c r="D93" s="2"/>
      <c r="E93" s="2"/>
    </row>
    <row r="94" spans="1:5">
      <c r="A94" s="2">
        <v>93</v>
      </c>
      <c r="B94" s="3" t="s">
        <v>482</v>
      </c>
      <c r="C94" s="2" t="s">
        <v>483</v>
      </c>
      <c r="D94" s="2"/>
      <c r="E94" s="2"/>
    </row>
    <row r="95" spans="1:5">
      <c r="A95" s="2">
        <v>94</v>
      </c>
      <c r="B95" s="3" t="s">
        <v>484</v>
      </c>
      <c r="C95" s="2" t="s">
        <v>485</v>
      </c>
      <c r="D95" s="2" t="s">
        <v>485</v>
      </c>
      <c r="E95" s="2">
        <v>1</v>
      </c>
    </row>
    <row r="96" spans="1:5">
      <c r="A96" s="2">
        <v>95</v>
      </c>
      <c r="B96" s="3" t="s">
        <v>486</v>
      </c>
      <c r="C96" s="2" t="s">
        <v>487</v>
      </c>
      <c r="D96" s="2"/>
      <c r="E96" s="2"/>
    </row>
    <row r="97" spans="1:5">
      <c r="A97" s="2">
        <v>96</v>
      </c>
      <c r="B97" s="3" t="s">
        <v>488</v>
      </c>
      <c r="C97" s="2" t="s">
        <v>489</v>
      </c>
      <c r="D97" s="2"/>
      <c r="E97" s="2"/>
    </row>
    <row r="98" spans="1:5">
      <c r="A98" s="2">
        <v>97</v>
      </c>
      <c r="B98" s="3" t="s">
        <v>490</v>
      </c>
      <c r="C98" s="2" t="s">
        <v>491</v>
      </c>
      <c r="D98" s="2"/>
      <c r="E98" s="2"/>
    </row>
    <row r="99" spans="1:5">
      <c r="A99" s="2">
        <v>98</v>
      </c>
      <c r="B99" s="3" t="s">
        <v>492</v>
      </c>
      <c r="C99" s="2" t="s">
        <v>493</v>
      </c>
      <c r="D99" s="2"/>
      <c r="E99" s="2"/>
    </row>
    <row r="100" spans="1:5">
      <c r="A100" s="2">
        <v>99</v>
      </c>
      <c r="B100" s="3" t="s">
        <v>494</v>
      </c>
      <c r="C100" s="2" t="s">
        <v>495</v>
      </c>
      <c r="D100" s="2"/>
      <c r="E100" s="2"/>
    </row>
    <row r="101" spans="1:5">
      <c r="A101" s="2">
        <v>100</v>
      </c>
      <c r="B101" s="3" t="s">
        <v>247</v>
      </c>
      <c r="C101" s="2" t="s">
        <v>248</v>
      </c>
      <c r="D101" s="2" t="s">
        <v>248</v>
      </c>
      <c r="E101" s="2">
        <v>1</v>
      </c>
    </row>
    <row r="102" spans="1:5">
      <c r="A102" s="2">
        <v>101</v>
      </c>
      <c r="B102" s="3" t="s">
        <v>496</v>
      </c>
      <c r="C102" s="2" t="s">
        <v>497</v>
      </c>
      <c r="D102" s="2"/>
      <c r="E102" s="2"/>
    </row>
    <row r="103" spans="1:5">
      <c r="A103" s="2">
        <v>102</v>
      </c>
      <c r="B103" s="3" t="s">
        <v>498</v>
      </c>
      <c r="C103" s="2" t="s">
        <v>499</v>
      </c>
      <c r="D103" s="2"/>
      <c r="E103" s="2"/>
    </row>
    <row r="104" spans="1:5">
      <c r="A104" s="2">
        <v>103</v>
      </c>
      <c r="B104" s="3" t="s">
        <v>500</v>
      </c>
      <c r="C104" s="2" t="s">
        <v>501</v>
      </c>
      <c r="D104" s="2"/>
      <c r="E104" s="2"/>
    </row>
    <row r="105" spans="1:5">
      <c r="A105" s="2">
        <v>104</v>
      </c>
      <c r="B105" s="3" t="s">
        <v>502</v>
      </c>
      <c r="C105" s="2" t="s">
        <v>503</v>
      </c>
      <c r="D105" s="2"/>
      <c r="E105" s="2"/>
    </row>
    <row r="106" spans="1:5">
      <c r="A106" s="2">
        <v>105</v>
      </c>
      <c r="B106" s="3" t="s">
        <v>504</v>
      </c>
      <c r="C106" s="2" t="s">
        <v>505</v>
      </c>
      <c r="D106" s="2"/>
      <c r="E106" s="2"/>
    </row>
    <row r="107" spans="1:5">
      <c r="A107" s="2">
        <v>106</v>
      </c>
      <c r="B107" s="3" t="s">
        <v>506</v>
      </c>
      <c r="C107" s="2" t="s">
        <v>507</v>
      </c>
      <c r="D107" s="2" t="s">
        <v>507</v>
      </c>
      <c r="E107" s="2">
        <v>1</v>
      </c>
    </row>
    <row r="108" spans="1:5">
      <c r="A108" s="2">
        <v>107</v>
      </c>
      <c r="B108" s="3" t="s">
        <v>508</v>
      </c>
      <c r="C108" s="2" t="s">
        <v>509</v>
      </c>
      <c r="D108" s="2" t="s">
        <v>509</v>
      </c>
      <c r="E108" s="2">
        <v>1</v>
      </c>
    </row>
    <row r="109" spans="1:5">
      <c r="A109" s="2">
        <v>108</v>
      </c>
      <c r="B109" s="3" t="s">
        <v>510</v>
      </c>
      <c r="C109" s="2" t="s">
        <v>511</v>
      </c>
      <c r="D109" s="2"/>
      <c r="E109" s="2"/>
    </row>
    <row r="110" spans="1:5">
      <c r="A110" s="2">
        <v>109</v>
      </c>
      <c r="B110" s="3" t="s">
        <v>512</v>
      </c>
      <c r="C110" s="2" t="s">
        <v>513</v>
      </c>
      <c r="D110" s="2"/>
      <c r="E110" s="2"/>
    </row>
    <row r="111" spans="1:5">
      <c r="A111" s="2">
        <v>110</v>
      </c>
      <c r="B111" s="3" t="s">
        <v>514</v>
      </c>
      <c r="C111" s="2" t="s">
        <v>515</v>
      </c>
      <c r="D111" s="2"/>
      <c r="E111" s="2"/>
    </row>
    <row r="112" spans="1:5">
      <c r="A112" s="2">
        <v>111</v>
      </c>
      <c r="B112" s="3" t="s">
        <v>516</v>
      </c>
      <c r="C112" s="2" t="s">
        <v>517</v>
      </c>
      <c r="D112" s="2"/>
      <c r="E112" s="2"/>
    </row>
    <row r="113" spans="1:5">
      <c r="A113" s="2">
        <v>112</v>
      </c>
      <c r="B113" s="3" t="s">
        <v>518</v>
      </c>
      <c r="C113" s="2" t="s">
        <v>519</v>
      </c>
      <c r="D113" s="2"/>
      <c r="E113" s="2"/>
    </row>
    <row r="114" spans="1:5">
      <c r="A114" s="2">
        <v>113</v>
      </c>
      <c r="B114" s="3" t="s">
        <v>520</v>
      </c>
      <c r="C114" s="2" t="s">
        <v>521</v>
      </c>
      <c r="D114" s="2"/>
      <c r="E114" s="2"/>
    </row>
    <row r="115" spans="1:5">
      <c r="A115" s="2">
        <v>114</v>
      </c>
      <c r="B115" s="3" t="s">
        <v>522</v>
      </c>
      <c r="C115" s="2" t="s">
        <v>523</v>
      </c>
      <c r="D115" s="2"/>
      <c r="E115" s="2"/>
    </row>
    <row r="116" spans="1:5">
      <c r="A116" s="2">
        <v>115</v>
      </c>
      <c r="B116" s="3" t="s">
        <v>524</v>
      </c>
      <c r="C116" s="2" t="s">
        <v>525</v>
      </c>
      <c r="D116" s="2"/>
      <c r="E116" s="2"/>
    </row>
    <row r="117" spans="1:5">
      <c r="A117" s="2">
        <v>116</v>
      </c>
      <c r="B117" s="3" t="s">
        <v>526</v>
      </c>
      <c r="C117" s="2" t="s">
        <v>527</v>
      </c>
      <c r="D117" s="2"/>
      <c r="E117" s="2"/>
    </row>
    <row r="118" spans="1:5">
      <c r="A118" s="2">
        <v>117</v>
      </c>
      <c r="B118" s="3" t="s">
        <v>528</v>
      </c>
      <c r="C118" s="2" t="s">
        <v>529</v>
      </c>
      <c r="D118" s="2"/>
      <c r="E118" s="2"/>
    </row>
    <row r="119" spans="1:5">
      <c r="A119" s="2">
        <v>118</v>
      </c>
      <c r="B119" s="3" t="s">
        <v>530</v>
      </c>
      <c r="C119" s="2" t="s">
        <v>531</v>
      </c>
      <c r="D119" s="2"/>
      <c r="E119" s="2"/>
    </row>
    <row r="120" spans="1:5">
      <c r="A120" s="2">
        <v>119</v>
      </c>
      <c r="B120" s="3" t="s">
        <v>532</v>
      </c>
      <c r="C120" s="2" t="s">
        <v>533</v>
      </c>
      <c r="D120" s="2"/>
      <c r="E120" s="2"/>
    </row>
    <row r="121" spans="1:5">
      <c r="A121" s="2">
        <v>120</v>
      </c>
      <c r="B121" s="3" t="s">
        <v>534</v>
      </c>
      <c r="C121" s="2" t="s">
        <v>535</v>
      </c>
      <c r="D121" s="2"/>
      <c r="E121" s="2"/>
    </row>
    <row r="122" spans="1:5">
      <c r="A122" s="2">
        <v>121</v>
      </c>
      <c r="B122" s="3" t="s">
        <v>536</v>
      </c>
      <c r="C122" s="2" t="s">
        <v>537</v>
      </c>
      <c r="D122" s="2"/>
      <c r="E122" s="2"/>
    </row>
    <row r="123" spans="1:5">
      <c r="A123" s="2">
        <v>122</v>
      </c>
      <c r="B123" s="3" t="s">
        <v>538</v>
      </c>
      <c r="C123" s="2" t="s">
        <v>539</v>
      </c>
      <c r="D123" s="2"/>
      <c r="E123" s="2"/>
    </row>
    <row r="124" spans="1:5">
      <c r="A124" s="2">
        <v>123</v>
      </c>
      <c r="B124" s="3" t="s">
        <v>250</v>
      </c>
      <c r="C124" s="2" t="s">
        <v>251</v>
      </c>
      <c r="D124" s="2" t="s">
        <v>251</v>
      </c>
      <c r="E124" s="2">
        <v>1</v>
      </c>
    </row>
    <row r="125" spans="1:5">
      <c r="A125" s="2">
        <v>124</v>
      </c>
      <c r="B125" s="3" t="s">
        <v>540</v>
      </c>
      <c r="C125" s="2" t="s">
        <v>541</v>
      </c>
      <c r="D125" s="2"/>
      <c r="E125" s="2"/>
    </row>
    <row r="126" spans="1:5">
      <c r="A126" s="2">
        <v>125</v>
      </c>
      <c r="B126" s="3" t="s">
        <v>542</v>
      </c>
      <c r="C126" s="2" t="s">
        <v>543</v>
      </c>
      <c r="D126" s="2"/>
      <c r="E126" s="2"/>
    </row>
    <row r="127" spans="1:5">
      <c r="A127" s="2">
        <v>126</v>
      </c>
      <c r="B127" s="3" t="s">
        <v>544</v>
      </c>
      <c r="C127" s="2" t="s">
        <v>545</v>
      </c>
      <c r="D127" s="2"/>
      <c r="E127" s="2"/>
    </row>
    <row r="128" spans="1:5">
      <c r="A128" s="2">
        <v>127</v>
      </c>
      <c r="B128" s="3" t="s">
        <v>546</v>
      </c>
      <c r="C128" s="2" t="s">
        <v>547</v>
      </c>
      <c r="D128" s="2"/>
      <c r="E128" s="2"/>
    </row>
    <row r="129" spans="1:5">
      <c r="A129" s="2">
        <v>128</v>
      </c>
      <c r="B129" s="3" t="s">
        <v>548</v>
      </c>
      <c r="C129" s="2" t="s">
        <v>549</v>
      </c>
      <c r="D129" s="2"/>
      <c r="E129" s="2"/>
    </row>
    <row r="130" spans="1:5">
      <c r="A130" s="2">
        <v>129</v>
      </c>
      <c r="B130" s="3" t="s">
        <v>254</v>
      </c>
      <c r="C130" s="2" t="s">
        <v>255</v>
      </c>
      <c r="D130" s="2" t="s">
        <v>255</v>
      </c>
      <c r="E130" s="2">
        <v>1</v>
      </c>
    </row>
    <row r="131" spans="1:5">
      <c r="A131" s="2">
        <v>130</v>
      </c>
      <c r="B131" s="3" t="s">
        <v>550</v>
      </c>
      <c r="C131" s="2" t="s">
        <v>551</v>
      </c>
      <c r="D131" s="2"/>
      <c r="E131" s="2"/>
    </row>
    <row r="132" spans="1:5">
      <c r="A132" s="2">
        <v>131</v>
      </c>
      <c r="B132" s="3" t="s">
        <v>552</v>
      </c>
      <c r="C132" s="2" t="s">
        <v>553</v>
      </c>
      <c r="D132" s="2"/>
      <c r="E132" s="2"/>
    </row>
    <row r="133" spans="1:5">
      <c r="A133" s="2">
        <v>132</v>
      </c>
      <c r="B133" s="3" t="s">
        <v>554</v>
      </c>
      <c r="C133" s="2" t="s">
        <v>555</v>
      </c>
      <c r="D133" s="2"/>
      <c r="E133" s="2"/>
    </row>
    <row r="134" spans="1:5">
      <c r="A134" s="2">
        <v>133</v>
      </c>
      <c r="B134" s="3" t="s">
        <v>556</v>
      </c>
      <c r="C134" s="2" t="s">
        <v>557</v>
      </c>
      <c r="D134" s="2"/>
      <c r="E134" s="2"/>
    </row>
    <row r="135" spans="1:5">
      <c r="A135" s="2">
        <v>134</v>
      </c>
      <c r="B135" s="3" t="s">
        <v>558</v>
      </c>
      <c r="C135" s="2" t="s">
        <v>559</v>
      </c>
      <c r="D135" s="2"/>
      <c r="E135" s="2"/>
    </row>
    <row r="136" spans="1:5">
      <c r="A136" s="2">
        <v>135</v>
      </c>
      <c r="B136" s="3" t="s">
        <v>560</v>
      </c>
      <c r="C136" s="2" t="s">
        <v>561</v>
      </c>
      <c r="D136" s="2"/>
      <c r="E136" s="2"/>
    </row>
    <row r="137" spans="1:5">
      <c r="A137" s="2">
        <v>136</v>
      </c>
      <c r="B137" s="3" t="s">
        <v>562</v>
      </c>
      <c r="C137" s="2" t="s">
        <v>563</v>
      </c>
      <c r="D137" s="2"/>
      <c r="E137" s="2"/>
    </row>
    <row r="138" spans="1:5">
      <c r="A138" s="2">
        <v>137</v>
      </c>
      <c r="B138" s="3" t="s">
        <v>564</v>
      </c>
      <c r="C138" s="2" t="s">
        <v>565</v>
      </c>
      <c r="D138" s="2"/>
      <c r="E138" s="2"/>
    </row>
    <row r="139" spans="1:5">
      <c r="A139" s="2">
        <v>138</v>
      </c>
      <c r="B139" s="3" t="s">
        <v>566</v>
      </c>
      <c r="C139" s="2" t="s">
        <v>567</v>
      </c>
      <c r="D139" s="2"/>
      <c r="E139" s="2"/>
    </row>
    <row r="140" spans="1:5">
      <c r="A140" s="2">
        <v>139</v>
      </c>
      <c r="B140" s="3" t="s">
        <v>568</v>
      </c>
      <c r="C140" s="2" t="s">
        <v>569</v>
      </c>
      <c r="D140" s="2"/>
      <c r="E140" s="2"/>
    </row>
    <row r="141" spans="1:5">
      <c r="A141" s="2">
        <v>140</v>
      </c>
      <c r="B141" s="3" t="s">
        <v>570</v>
      </c>
      <c r="C141" s="2" t="s">
        <v>571</v>
      </c>
      <c r="D141" s="2"/>
      <c r="E141" s="2"/>
    </row>
    <row r="142" spans="1:5">
      <c r="A142" s="2">
        <v>141</v>
      </c>
      <c r="B142" s="3" t="s">
        <v>572</v>
      </c>
      <c r="C142" s="2" t="s">
        <v>573</v>
      </c>
      <c r="D142" s="2"/>
      <c r="E142" s="2"/>
    </row>
    <row r="143" spans="1:5">
      <c r="A143" s="2">
        <v>142</v>
      </c>
      <c r="B143" s="3" t="s">
        <v>574</v>
      </c>
      <c r="C143" s="2" t="s">
        <v>575</v>
      </c>
      <c r="D143" s="2"/>
      <c r="E143" s="2"/>
    </row>
    <row r="144" spans="1:5">
      <c r="A144" s="2">
        <v>143</v>
      </c>
      <c r="B144" s="3" t="s">
        <v>576</v>
      </c>
      <c r="C144" s="2" t="s">
        <v>577</v>
      </c>
      <c r="D144" s="2"/>
      <c r="E144" s="2"/>
    </row>
    <row r="145" spans="1:5">
      <c r="A145" s="2">
        <v>144</v>
      </c>
      <c r="B145" s="3" t="s">
        <v>578</v>
      </c>
      <c r="C145" s="2" t="s">
        <v>579</v>
      </c>
      <c r="D145" s="2"/>
      <c r="E145" s="2"/>
    </row>
    <row r="146" spans="1:5">
      <c r="A146" s="2">
        <v>145</v>
      </c>
      <c r="B146" s="3" t="s">
        <v>580</v>
      </c>
      <c r="C146" s="2" t="s">
        <v>581</v>
      </c>
      <c r="D146" s="2"/>
      <c r="E146" s="2"/>
    </row>
    <row r="147" spans="1:5">
      <c r="A147" s="2">
        <v>146</v>
      </c>
      <c r="B147" s="3" t="s">
        <v>582</v>
      </c>
      <c r="C147" s="2" t="s">
        <v>583</v>
      </c>
      <c r="D147" s="2"/>
      <c r="E147" s="2"/>
    </row>
    <row r="148" spans="1:5">
      <c r="A148" s="2">
        <v>147</v>
      </c>
      <c r="B148" s="3" t="s">
        <v>146</v>
      </c>
      <c r="C148" s="2" t="s">
        <v>584</v>
      </c>
      <c r="D148" s="2"/>
      <c r="E148" s="2"/>
    </row>
    <row r="149" spans="1:5">
      <c r="A149" s="2">
        <v>148</v>
      </c>
      <c r="B149" s="3" t="s">
        <v>585</v>
      </c>
      <c r="C149" s="2" t="s">
        <v>586</v>
      </c>
      <c r="D149" s="2"/>
      <c r="E149" s="2"/>
    </row>
    <row r="150" spans="1:5">
      <c r="A150" s="2">
        <v>149</v>
      </c>
      <c r="B150" s="3" t="s">
        <v>259</v>
      </c>
      <c r="C150" s="2" t="s">
        <v>260</v>
      </c>
      <c r="D150" s="2" t="s">
        <v>587</v>
      </c>
      <c r="E150" s="2">
        <v>1</v>
      </c>
    </row>
    <row r="151" spans="1:5">
      <c r="A151" s="2">
        <v>150</v>
      </c>
      <c r="B151" s="3" t="s">
        <v>588</v>
      </c>
      <c r="C151" s="2" t="s">
        <v>589</v>
      </c>
      <c r="D151" s="2"/>
      <c r="E151" s="2"/>
    </row>
    <row r="152" spans="1:5">
      <c r="A152" s="2">
        <v>151</v>
      </c>
      <c r="B152" s="3" t="s">
        <v>276</v>
      </c>
      <c r="C152" s="2" t="s">
        <v>277</v>
      </c>
      <c r="D152" s="2" t="s">
        <v>277</v>
      </c>
      <c r="E152" s="2">
        <v>1</v>
      </c>
    </row>
    <row r="153" spans="1:5">
      <c r="A153" s="2">
        <v>152</v>
      </c>
      <c r="B153" s="3" t="s">
        <v>590</v>
      </c>
      <c r="C153" s="2" t="s">
        <v>591</v>
      </c>
      <c r="D153" s="2"/>
      <c r="E153" s="2"/>
    </row>
    <row r="154" spans="1:5">
      <c r="A154" s="2">
        <v>153</v>
      </c>
      <c r="B154" s="3" t="s">
        <v>592</v>
      </c>
      <c r="C154" s="2" t="s">
        <v>593</v>
      </c>
      <c r="D154" s="2"/>
      <c r="E154" s="2"/>
    </row>
    <row r="155" spans="1:5">
      <c r="A155" s="2">
        <v>154</v>
      </c>
      <c r="B155" s="3" t="s">
        <v>594</v>
      </c>
      <c r="C155" s="2" t="s">
        <v>595</v>
      </c>
      <c r="D155" s="2"/>
      <c r="E155" s="2"/>
    </row>
    <row r="156" spans="1:5">
      <c r="A156" s="2">
        <v>155</v>
      </c>
      <c r="B156" s="3" t="s">
        <v>596</v>
      </c>
      <c r="C156" s="2" t="s">
        <v>597</v>
      </c>
      <c r="D156" s="2"/>
      <c r="E156" s="2"/>
    </row>
    <row r="157" spans="1:5">
      <c r="A157" s="2">
        <v>156</v>
      </c>
      <c r="B157" s="3" t="s">
        <v>286</v>
      </c>
      <c r="C157" s="2" t="s">
        <v>287</v>
      </c>
      <c r="D157" s="2" t="s">
        <v>287</v>
      </c>
      <c r="E157" s="2">
        <v>1</v>
      </c>
    </row>
    <row r="158" spans="1:5">
      <c r="A158" s="2">
        <v>157</v>
      </c>
      <c r="B158" s="3" t="s">
        <v>290</v>
      </c>
      <c r="C158" s="2" t="s">
        <v>291</v>
      </c>
      <c r="D158" s="2" t="s">
        <v>291</v>
      </c>
      <c r="E158" s="2">
        <v>1</v>
      </c>
    </row>
    <row r="159" spans="1:5">
      <c r="A159" s="2">
        <v>158</v>
      </c>
      <c r="B159" s="3" t="s">
        <v>598</v>
      </c>
      <c r="C159" s="2" t="s">
        <v>599</v>
      </c>
      <c r="D159" s="2"/>
      <c r="E159" s="2"/>
    </row>
    <row r="160" spans="1:5">
      <c r="A160" s="2">
        <v>159</v>
      </c>
      <c r="B160" s="3" t="s">
        <v>600</v>
      </c>
      <c r="C160" s="2" t="s">
        <v>601</v>
      </c>
      <c r="D160" s="2"/>
      <c r="E160" s="2"/>
    </row>
    <row r="161" spans="1:5">
      <c r="A161" s="2">
        <v>160</v>
      </c>
      <c r="B161" s="3" t="s">
        <v>602</v>
      </c>
      <c r="C161" s="2" t="s">
        <v>603</v>
      </c>
      <c r="D161" s="2" t="s">
        <v>604</v>
      </c>
      <c r="E161" s="2">
        <v>1</v>
      </c>
    </row>
    <row r="162" spans="1:5">
      <c r="A162" s="2">
        <v>161</v>
      </c>
      <c r="B162" s="3" t="s">
        <v>605</v>
      </c>
      <c r="C162" s="2" t="s">
        <v>606</v>
      </c>
      <c r="D162" s="2"/>
      <c r="E162" s="2"/>
    </row>
    <row r="163" spans="1:5">
      <c r="A163" s="2">
        <v>162</v>
      </c>
      <c r="B163" s="3" t="s">
        <v>607</v>
      </c>
      <c r="C163" s="2" t="s">
        <v>608</v>
      </c>
      <c r="D163" s="2"/>
      <c r="E163" s="2"/>
    </row>
    <row r="164" spans="1:5">
      <c r="A164" s="2">
        <v>163</v>
      </c>
      <c r="B164" s="3" t="s">
        <v>609</v>
      </c>
      <c r="C164" s="2" t="s">
        <v>610</v>
      </c>
      <c r="D164" s="2"/>
      <c r="E164" s="2"/>
    </row>
    <row r="165" spans="1:5">
      <c r="A165" s="2">
        <v>164</v>
      </c>
      <c r="B165" s="3" t="s">
        <v>611</v>
      </c>
      <c r="C165" s="2" t="s">
        <v>612</v>
      </c>
      <c r="D165" s="2"/>
      <c r="E165" s="2"/>
    </row>
    <row r="166" spans="1:5">
      <c r="A166" s="2">
        <v>165</v>
      </c>
      <c r="B166" s="3" t="s">
        <v>613</v>
      </c>
      <c r="C166" s="2" t="s">
        <v>614</v>
      </c>
      <c r="D166" s="2"/>
      <c r="E166" s="2"/>
    </row>
    <row r="167" spans="1:5">
      <c r="A167" s="2">
        <v>166</v>
      </c>
      <c r="B167" s="3" t="s">
        <v>615</v>
      </c>
      <c r="C167" s="2" t="s">
        <v>616</v>
      </c>
      <c r="D167" s="2"/>
      <c r="E167" s="2"/>
    </row>
    <row r="168" spans="1:5">
      <c r="A168" s="2">
        <v>167</v>
      </c>
      <c r="B168" s="3" t="s">
        <v>617</v>
      </c>
      <c r="C168" s="2" t="s">
        <v>618</v>
      </c>
      <c r="D168" s="2"/>
      <c r="E168" s="2"/>
    </row>
    <row r="169" spans="1:5">
      <c r="A169" s="2">
        <v>168</v>
      </c>
      <c r="B169" s="3" t="s">
        <v>619</v>
      </c>
      <c r="C169" s="2" t="s">
        <v>620</v>
      </c>
      <c r="D169" s="2"/>
      <c r="E169" s="2"/>
    </row>
    <row r="170" spans="1:5">
      <c r="A170" s="2">
        <v>169</v>
      </c>
      <c r="B170" s="3" t="s">
        <v>621</v>
      </c>
      <c r="C170" s="2" t="s">
        <v>622</v>
      </c>
      <c r="D170" s="2"/>
      <c r="E170" s="2"/>
    </row>
    <row r="171" spans="1:5">
      <c r="A171" s="2">
        <v>170</v>
      </c>
      <c r="B171" s="3" t="s">
        <v>623</v>
      </c>
      <c r="C171" s="2" t="s">
        <v>624</v>
      </c>
      <c r="D171" s="2"/>
      <c r="E171" s="2"/>
    </row>
    <row r="172" spans="1:5">
      <c r="A172" s="2">
        <v>171</v>
      </c>
      <c r="B172" s="3" t="s">
        <v>625</v>
      </c>
      <c r="C172" s="2" t="s">
        <v>317</v>
      </c>
      <c r="D172" s="2"/>
      <c r="E172" s="2"/>
    </row>
    <row r="173" spans="1:5">
      <c r="A173" s="2">
        <v>172</v>
      </c>
      <c r="B173" s="3" t="s">
        <v>626</v>
      </c>
      <c r="C173" s="2" t="s">
        <v>627</v>
      </c>
      <c r="D173" s="2"/>
      <c r="E173" s="2"/>
    </row>
    <row r="174" spans="1:5">
      <c r="A174" s="2">
        <v>173</v>
      </c>
      <c r="B174" s="3" t="s">
        <v>628</v>
      </c>
      <c r="C174" s="2" t="s">
        <v>629</v>
      </c>
      <c r="D174" s="2"/>
      <c r="E174" s="2"/>
    </row>
    <row r="175" spans="1:5">
      <c r="A175" s="2">
        <v>174</v>
      </c>
      <c r="B175" s="3" t="s">
        <v>630</v>
      </c>
      <c r="C175" s="2" t="s">
        <v>631</v>
      </c>
      <c r="D175" s="2"/>
      <c r="E175" s="2"/>
    </row>
    <row r="176" spans="1:5">
      <c r="A176" s="2">
        <v>175</v>
      </c>
      <c r="B176" s="3" t="s">
        <v>632</v>
      </c>
      <c r="C176" s="2" t="s">
        <v>633</v>
      </c>
      <c r="D176" s="2"/>
      <c r="E176" s="2"/>
    </row>
    <row r="177" spans="1:5">
      <c r="A177" s="2">
        <v>176</v>
      </c>
      <c r="B177" s="3" t="s">
        <v>634</v>
      </c>
      <c r="C177" s="2" t="s">
        <v>305</v>
      </c>
      <c r="D177" s="2"/>
      <c r="E177" s="2"/>
    </row>
    <row r="178" spans="1:5">
      <c r="A178" s="2">
        <v>177</v>
      </c>
      <c r="B178" s="3" t="s">
        <v>635</v>
      </c>
      <c r="C178" s="2" t="s">
        <v>636</v>
      </c>
      <c r="D178" s="2"/>
      <c r="E178" s="2"/>
    </row>
    <row r="179" spans="1:5">
      <c r="A179" s="2">
        <v>178</v>
      </c>
      <c r="B179" s="3" t="s">
        <v>637</v>
      </c>
      <c r="C179" s="2" t="s">
        <v>638</v>
      </c>
      <c r="D179" s="2"/>
      <c r="E179" s="2"/>
    </row>
    <row r="180" spans="1:5">
      <c r="A180" s="2">
        <v>179</v>
      </c>
      <c r="B180" s="3" t="s">
        <v>639</v>
      </c>
      <c r="C180" s="2" t="s">
        <v>640</v>
      </c>
      <c r="D180" s="2"/>
      <c r="E180" s="2"/>
    </row>
    <row r="181" spans="1:5">
      <c r="A181" s="2">
        <v>180</v>
      </c>
      <c r="B181" s="3" t="s">
        <v>641</v>
      </c>
      <c r="C181" s="2" t="s">
        <v>642</v>
      </c>
      <c r="D181" s="2"/>
      <c r="E181" s="2"/>
    </row>
    <row r="182" spans="1:5">
      <c r="A182" s="2">
        <v>181</v>
      </c>
      <c r="B182" s="3" t="s">
        <v>643</v>
      </c>
      <c r="C182" s="2" t="s">
        <v>644</v>
      </c>
      <c r="D182" s="2"/>
      <c r="E182" s="2"/>
    </row>
    <row r="183" spans="1:5">
      <c r="A183" s="2">
        <v>182</v>
      </c>
      <c r="B183" s="3" t="s">
        <v>645</v>
      </c>
      <c r="C183" s="2" t="s">
        <v>646</v>
      </c>
      <c r="D183" s="2"/>
      <c r="E183" s="2"/>
    </row>
    <row r="184" spans="1:5">
      <c r="A184" s="2">
        <v>183</v>
      </c>
      <c r="B184" s="3" t="s">
        <v>647</v>
      </c>
      <c r="C184" s="2" t="s">
        <v>648</v>
      </c>
      <c r="D184" s="2"/>
      <c r="E184" s="2"/>
    </row>
    <row r="185" spans="1:5">
      <c r="A185" s="2">
        <v>184</v>
      </c>
      <c r="B185" s="3" t="s">
        <v>649</v>
      </c>
      <c r="C185" s="2" t="s">
        <v>650</v>
      </c>
      <c r="D185" s="2"/>
      <c r="E185" s="2"/>
    </row>
    <row r="186" spans="1:5">
      <c r="A186" s="2">
        <v>185</v>
      </c>
      <c r="B186" s="3" t="s">
        <v>651</v>
      </c>
      <c r="C186" s="2" t="s">
        <v>652</v>
      </c>
      <c r="D186" s="2"/>
      <c r="E186" s="2"/>
    </row>
    <row r="187" spans="1:5">
      <c r="A187" s="2">
        <v>186</v>
      </c>
      <c r="B187" s="3" t="s">
        <v>653</v>
      </c>
      <c r="C187" s="2" t="s">
        <v>654</v>
      </c>
      <c r="D187" s="2"/>
      <c r="E187" s="2"/>
    </row>
    <row r="188" spans="1:5">
      <c r="A188" s="2">
        <v>187</v>
      </c>
      <c r="B188" s="3" t="s">
        <v>655</v>
      </c>
      <c r="C188" s="2" t="s">
        <v>656</v>
      </c>
      <c r="D188" s="2"/>
      <c r="E188" s="2"/>
    </row>
    <row r="189" spans="1:5">
      <c r="A189" s="2">
        <v>188</v>
      </c>
      <c r="B189" s="3" t="s">
        <v>657</v>
      </c>
      <c r="C189" s="2" t="s">
        <v>658</v>
      </c>
      <c r="D189" s="2"/>
      <c r="E189" s="2"/>
    </row>
    <row r="190" spans="1:5">
      <c r="A190" s="2">
        <v>189</v>
      </c>
      <c r="B190" s="3" t="s">
        <v>659</v>
      </c>
      <c r="C190" s="2" t="s">
        <v>660</v>
      </c>
      <c r="D190" s="2"/>
      <c r="E190" s="2"/>
    </row>
    <row r="191" spans="1:5">
      <c r="A191" s="2">
        <v>190</v>
      </c>
      <c r="B191" s="3" t="s">
        <v>661</v>
      </c>
      <c r="C191" s="2" t="s">
        <v>662</v>
      </c>
      <c r="D191" s="2"/>
      <c r="E191" s="2"/>
    </row>
    <row r="192" spans="1:5">
      <c r="A192" s="2">
        <v>191</v>
      </c>
      <c r="B192" s="3" t="s">
        <v>663</v>
      </c>
      <c r="C192" s="2" t="s">
        <v>664</v>
      </c>
      <c r="D192" s="2"/>
      <c r="E192" s="2"/>
    </row>
    <row r="193" spans="1:5">
      <c r="A193" s="2">
        <v>192</v>
      </c>
      <c r="B193" s="3" t="s">
        <v>665</v>
      </c>
      <c r="C193" s="2" t="s">
        <v>666</v>
      </c>
      <c r="D193" s="2"/>
      <c r="E193" s="2"/>
    </row>
    <row r="194" spans="1:5">
      <c r="A194" s="2">
        <v>193</v>
      </c>
      <c r="B194" s="3" t="s">
        <v>667</v>
      </c>
      <c r="C194" s="2" t="s">
        <v>668</v>
      </c>
      <c r="D194" s="2"/>
      <c r="E194" s="2"/>
    </row>
    <row r="195" spans="1:5">
      <c r="A195" s="2">
        <v>194</v>
      </c>
      <c r="B195" s="3" t="s">
        <v>669</v>
      </c>
      <c r="C195" s="2" t="s">
        <v>670</v>
      </c>
      <c r="D195" s="2"/>
      <c r="E195" s="2"/>
    </row>
    <row r="196" spans="1:5">
      <c r="A196" s="2">
        <v>195</v>
      </c>
      <c r="B196" s="3" t="s">
        <v>671</v>
      </c>
      <c r="C196" s="2" t="s">
        <v>672</v>
      </c>
      <c r="D196" s="2"/>
      <c r="E196" s="2"/>
    </row>
    <row r="197" spans="1:5">
      <c r="A197" s="2">
        <v>196</v>
      </c>
      <c r="B197" s="3" t="s">
        <v>673</v>
      </c>
      <c r="C197" s="2" t="s">
        <v>674</v>
      </c>
      <c r="D197" s="2"/>
      <c r="E197" s="2"/>
    </row>
    <row r="198" spans="1:5">
      <c r="A198" s="2">
        <v>197</v>
      </c>
      <c r="B198" s="3" t="s">
        <v>294</v>
      </c>
      <c r="C198" s="2" t="s">
        <v>295</v>
      </c>
      <c r="D198" s="2" t="s">
        <v>675</v>
      </c>
      <c r="E198" s="2">
        <v>1</v>
      </c>
    </row>
    <row r="199" spans="1:5">
      <c r="A199" s="2">
        <v>198</v>
      </c>
      <c r="B199" s="3" t="s">
        <v>676</v>
      </c>
      <c r="C199" s="2" t="s">
        <v>677</v>
      </c>
      <c r="D199" s="2"/>
      <c r="E199" s="2"/>
    </row>
    <row r="200" spans="1:5">
      <c r="A200" s="2">
        <v>199</v>
      </c>
      <c r="B200" s="3" t="s">
        <v>678</v>
      </c>
      <c r="C200" s="2" t="s">
        <v>679</v>
      </c>
      <c r="D200" s="2"/>
      <c r="E200" s="2"/>
    </row>
    <row r="201" spans="1:5">
      <c r="A201" s="2">
        <v>200</v>
      </c>
      <c r="B201" s="3" t="s">
        <v>680</v>
      </c>
      <c r="C201" s="2" t="s">
        <v>681</v>
      </c>
      <c r="D201" s="2"/>
      <c r="E201" s="2"/>
    </row>
    <row r="202" spans="1:5">
      <c r="A202" s="2">
        <v>201</v>
      </c>
      <c r="B202" s="3" t="s">
        <v>682</v>
      </c>
      <c r="C202" s="2" t="s">
        <v>683</v>
      </c>
      <c r="D202" s="2"/>
      <c r="E202" s="2"/>
    </row>
    <row r="203" spans="1:5">
      <c r="A203" s="2">
        <v>202</v>
      </c>
      <c r="B203" s="3" t="s">
        <v>684</v>
      </c>
      <c r="C203" s="2" t="s">
        <v>685</v>
      </c>
      <c r="D203" s="2"/>
      <c r="E203" s="2"/>
    </row>
    <row r="204" spans="1:5">
      <c r="A204" s="2">
        <v>203</v>
      </c>
      <c r="B204" s="3" t="s">
        <v>686</v>
      </c>
      <c r="C204" s="2" t="s">
        <v>687</v>
      </c>
      <c r="D204" s="2"/>
      <c r="E204" s="2"/>
    </row>
    <row r="205" spans="1:5">
      <c r="A205" s="2">
        <v>204</v>
      </c>
      <c r="B205" s="3" t="s">
        <v>688</v>
      </c>
      <c r="C205" s="2" t="s">
        <v>689</v>
      </c>
      <c r="D205" s="2"/>
      <c r="E205" s="2"/>
    </row>
    <row r="206" spans="1:5">
      <c r="A206" s="2">
        <v>205</v>
      </c>
      <c r="B206" s="3" t="s">
        <v>690</v>
      </c>
      <c r="C206" s="2" t="s">
        <v>691</v>
      </c>
      <c r="D206" s="2"/>
      <c r="E206" s="2"/>
    </row>
    <row r="207" spans="1:5">
      <c r="A207" s="2">
        <v>206</v>
      </c>
      <c r="B207" s="3" t="s">
        <v>692</v>
      </c>
      <c r="C207" s="2" t="s">
        <v>693</v>
      </c>
      <c r="D207" s="2"/>
      <c r="E207" s="2"/>
    </row>
    <row r="208" spans="1:5">
      <c r="A208" s="2">
        <v>207</v>
      </c>
      <c r="B208" s="3" t="s">
        <v>694</v>
      </c>
      <c r="C208" s="2" t="s">
        <v>695</v>
      </c>
      <c r="D208" s="2"/>
      <c r="E208" s="2"/>
    </row>
    <row r="209" spans="1:5">
      <c r="A209" s="2">
        <v>208</v>
      </c>
      <c r="B209" s="3" t="s">
        <v>696</v>
      </c>
      <c r="C209" s="2" t="s">
        <v>697</v>
      </c>
      <c r="D209" s="2"/>
      <c r="E209" s="2"/>
    </row>
    <row r="210" spans="1:5">
      <c r="A210" s="2">
        <v>209</v>
      </c>
      <c r="B210" s="3" t="s">
        <v>698</v>
      </c>
      <c r="C210" s="2" t="s">
        <v>699</v>
      </c>
      <c r="D210" s="2"/>
      <c r="E210" s="2"/>
    </row>
    <row r="211" spans="1:5">
      <c r="A211" s="2">
        <v>210</v>
      </c>
      <c r="B211" s="3" t="s">
        <v>700</v>
      </c>
      <c r="C211" s="2" t="s">
        <v>701</v>
      </c>
      <c r="D211" s="2" t="s">
        <v>701</v>
      </c>
      <c r="E211" s="2">
        <v>1</v>
      </c>
    </row>
    <row r="212" spans="1:5">
      <c r="A212" s="2">
        <v>211</v>
      </c>
      <c r="B212" s="3" t="s">
        <v>702</v>
      </c>
      <c r="C212" s="2" t="s">
        <v>703</v>
      </c>
      <c r="D212" s="2" t="s">
        <v>703</v>
      </c>
      <c r="E212" s="2">
        <v>1</v>
      </c>
    </row>
    <row r="213" spans="1:5">
      <c r="A213" s="2">
        <v>212</v>
      </c>
      <c r="B213" s="3" t="s">
        <v>704</v>
      </c>
      <c r="C213" s="2" t="s">
        <v>705</v>
      </c>
      <c r="D213" s="2"/>
      <c r="E213" s="2"/>
    </row>
    <row r="214" spans="1:5">
      <c r="A214" s="2">
        <v>213</v>
      </c>
      <c r="B214" s="3" t="s">
        <v>706</v>
      </c>
      <c r="C214" s="2" t="s">
        <v>707</v>
      </c>
      <c r="D214" s="2" t="s">
        <v>707</v>
      </c>
      <c r="E214" s="2">
        <v>1</v>
      </c>
    </row>
    <row r="215" spans="1:5">
      <c r="A215" s="2">
        <v>214</v>
      </c>
      <c r="B215" s="3" t="s">
        <v>708</v>
      </c>
      <c r="C215" s="2" t="s">
        <v>709</v>
      </c>
      <c r="D215" s="2"/>
      <c r="E215" s="2"/>
    </row>
    <row r="216" spans="1:5">
      <c r="A216" s="2">
        <v>215</v>
      </c>
      <c r="B216" s="3" t="s">
        <v>710</v>
      </c>
      <c r="C216" s="2" t="s">
        <v>711</v>
      </c>
      <c r="D216" s="2"/>
      <c r="E216" s="2"/>
    </row>
    <row r="217" spans="1:5">
      <c r="A217" s="2">
        <v>216</v>
      </c>
      <c r="B217" s="3" t="s">
        <v>712</v>
      </c>
      <c r="C217" s="2" t="s">
        <v>713</v>
      </c>
      <c r="D217" s="2"/>
      <c r="E217" s="2"/>
    </row>
    <row r="218" spans="1:5">
      <c r="A218" s="2">
        <v>217</v>
      </c>
      <c r="B218" s="3" t="s">
        <v>714</v>
      </c>
      <c r="C218" s="2" t="s">
        <v>715</v>
      </c>
      <c r="D218" s="2"/>
      <c r="E218" s="2"/>
    </row>
    <row r="219" spans="1:5">
      <c r="A219" s="2">
        <v>218</v>
      </c>
      <c r="B219" s="3" t="s">
        <v>716</v>
      </c>
      <c r="C219" s="2" t="s">
        <v>717</v>
      </c>
      <c r="D219" s="2"/>
      <c r="E219" s="2"/>
    </row>
    <row r="220" spans="1:5">
      <c r="A220" s="2">
        <v>219</v>
      </c>
      <c r="B220" s="3" t="s">
        <v>718</v>
      </c>
      <c r="C220" s="2" t="s">
        <v>719</v>
      </c>
      <c r="D220" s="2"/>
      <c r="E220" s="2"/>
    </row>
    <row r="221" spans="1:5">
      <c r="A221" s="2">
        <v>220</v>
      </c>
      <c r="B221" s="3" t="s">
        <v>720</v>
      </c>
      <c r="C221" s="2" t="s">
        <v>721</v>
      </c>
      <c r="D221" s="2"/>
      <c r="E221" s="2"/>
    </row>
    <row r="222" spans="1:5">
      <c r="A222" s="2">
        <v>221</v>
      </c>
      <c r="B222" s="3" t="s">
        <v>722</v>
      </c>
      <c r="C222" s="2" t="s">
        <v>723</v>
      </c>
      <c r="D222" s="2"/>
      <c r="E222" s="2"/>
    </row>
    <row r="223" spans="1:5">
      <c r="A223" s="2">
        <v>222</v>
      </c>
      <c r="B223" s="3" t="s">
        <v>724</v>
      </c>
      <c r="C223" s="2" t="s">
        <v>725</v>
      </c>
      <c r="D223" s="2"/>
      <c r="E223" s="2"/>
    </row>
    <row r="224" spans="1:5">
      <c r="A224" s="2">
        <v>223</v>
      </c>
      <c r="B224" s="3" t="s">
        <v>726</v>
      </c>
      <c r="C224" s="2" t="s">
        <v>727</v>
      </c>
      <c r="D224" s="2"/>
      <c r="E224" s="2"/>
    </row>
    <row r="225" spans="1:5">
      <c r="A225" s="2">
        <v>224</v>
      </c>
      <c r="B225" s="3" t="s">
        <v>728</v>
      </c>
      <c r="C225" s="2" t="s">
        <v>729</v>
      </c>
      <c r="D225" s="2"/>
      <c r="E225" s="2"/>
    </row>
    <row r="226" spans="1:5">
      <c r="A226" s="2">
        <v>225</v>
      </c>
      <c r="B226" s="3" t="s">
        <v>730</v>
      </c>
      <c r="C226" s="2" t="s">
        <v>731</v>
      </c>
      <c r="D226" s="2"/>
      <c r="E226" s="2"/>
    </row>
    <row r="227" spans="1:5">
      <c r="A227" s="2">
        <v>226</v>
      </c>
      <c r="B227" s="3" t="s">
        <v>732</v>
      </c>
      <c r="C227" s="2" t="s">
        <v>733</v>
      </c>
      <c r="D227" s="2"/>
      <c r="E227" s="2"/>
    </row>
    <row r="228" spans="1:5">
      <c r="A228" s="2">
        <v>227</v>
      </c>
      <c r="B228" s="3" t="s">
        <v>734</v>
      </c>
      <c r="C228" s="2" t="s">
        <v>735</v>
      </c>
      <c r="D228" s="2"/>
      <c r="E228" s="2"/>
    </row>
    <row r="229" spans="1:5">
      <c r="A229" s="2">
        <v>228</v>
      </c>
      <c r="B229" s="3" t="s">
        <v>736</v>
      </c>
      <c r="C229" s="2" t="s">
        <v>737</v>
      </c>
      <c r="D229" s="2" t="s">
        <v>737</v>
      </c>
      <c r="E229" s="2">
        <v>1</v>
      </c>
    </row>
    <row r="230" spans="1:5">
      <c r="A230" s="2">
        <v>229</v>
      </c>
      <c r="B230" s="3" t="s">
        <v>738</v>
      </c>
      <c r="C230" s="2" t="s">
        <v>739</v>
      </c>
      <c r="D230" s="2" t="s">
        <v>739</v>
      </c>
      <c r="E230" s="2">
        <v>1</v>
      </c>
    </row>
    <row r="231" spans="1:5">
      <c r="A231" s="2">
        <v>230</v>
      </c>
      <c r="B231" s="3" t="s">
        <v>740</v>
      </c>
      <c r="C231" s="2" t="s">
        <v>741</v>
      </c>
      <c r="D231" s="2"/>
      <c r="E231" s="2"/>
    </row>
    <row r="232" spans="1:5">
      <c r="A232" s="2">
        <v>231</v>
      </c>
      <c r="B232" s="3" t="s">
        <v>742</v>
      </c>
      <c r="C232" s="2" t="s">
        <v>743</v>
      </c>
      <c r="D232" s="2"/>
      <c r="E232" s="2"/>
    </row>
    <row r="233" spans="1:5">
      <c r="A233" s="2">
        <v>232</v>
      </c>
      <c r="B233" s="3" t="s">
        <v>744</v>
      </c>
      <c r="C233" s="2" t="s">
        <v>745</v>
      </c>
      <c r="D233" s="2"/>
      <c r="E233" s="2"/>
    </row>
    <row r="234" spans="1:5">
      <c r="A234" s="2">
        <v>233</v>
      </c>
      <c r="B234" s="3" t="s">
        <v>746</v>
      </c>
      <c r="C234" s="2" t="s">
        <v>747</v>
      </c>
      <c r="D234" s="2"/>
      <c r="E234" s="2"/>
    </row>
    <row r="235" spans="1:5">
      <c r="A235" s="2">
        <v>234</v>
      </c>
      <c r="B235" s="3" t="s">
        <v>748</v>
      </c>
      <c r="C235" s="2" t="s">
        <v>749</v>
      </c>
      <c r="D235" s="2"/>
      <c r="E235" s="2"/>
    </row>
    <row r="236" spans="1:5">
      <c r="A236" s="2">
        <v>235</v>
      </c>
      <c r="B236" s="3" t="s">
        <v>750</v>
      </c>
      <c r="C236" s="2" t="s">
        <v>751</v>
      </c>
      <c r="D236" s="2"/>
      <c r="E236" s="2"/>
    </row>
    <row r="237" spans="1:5">
      <c r="A237" s="2">
        <v>236</v>
      </c>
      <c r="B237" s="3" t="s">
        <v>752</v>
      </c>
      <c r="C237" s="2" t="s">
        <v>753</v>
      </c>
      <c r="D237" s="2"/>
      <c r="E237" s="2"/>
    </row>
    <row r="238" spans="1:5">
      <c r="A238" s="2">
        <v>237</v>
      </c>
      <c r="B238" s="3" t="s">
        <v>754</v>
      </c>
      <c r="C238" s="2" t="s">
        <v>755</v>
      </c>
      <c r="D238" s="2"/>
      <c r="E238" s="2"/>
    </row>
    <row r="239" spans="1:5">
      <c r="A239" s="2">
        <v>238</v>
      </c>
      <c r="B239" s="3" t="s">
        <v>756</v>
      </c>
      <c r="C239" s="2" t="s">
        <v>757</v>
      </c>
      <c r="D239" s="2"/>
      <c r="E239" s="2"/>
    </row>
    <row r="240" spans="1:5">
      <c r="A240" s="2">
        <v>239</v>
      </c>
      <c r="B240" s="3" t="s">
        <v>758</v>
      </c>
      <c r="C240" s="2" t="s">
        <v>759</v>
      </c>
      <c r="D240" s="2"/>
      <c r="E240" s="2"/>
    </row>
    <row r="241" spans="1:5">
      <c r="A241" s="2">
        <v>240</v>
      </c>
      <c r="B241" s="3" t="s">
        <v>760</v>
      </c>
      <c r="C241" s="2" t="s">
        <v>761</v>
      </c>
      <c r="D241" s="2"/>
      <c r="E241" s="2"/>
    </row>
    <row r="242" spans="1:5">
      <c r="A242" s="2">
        <v>241</v>
      </c>
      <c r="B242" s="3" t="s">
        <v>762</v>
      </c>
      <c r="C242" s="2" t="s">
        <v>763</v>
      </c>
      <c r="D242" s="2"/>
      <c r="E242" s="2"/>
    </row>
    <row r="243" spans="1:5">
      <c r="A243" s="2">
        <v>242</v>
      </c>
      <c r="B243" s="3" t="s">
        <v>764</v>
      </c>
      <c r="C243" s="2" t="s">
        <v>765</v>
      </c>
      <c r="D243" s="2"/>
      <c r="E243" s="2"/>
    </row>
    <row r="244" spans="1:5">
      <c r="A244" s="2">
        <v>243</v>
      </c>
      <c r="B244" s="3" t="s">
        <v>766</v>
      </c>
      <c r="C244" s="2" t="s">
        <v>767</v>
      </c>
      <c r="D244" s="2"/>
      <c r="E244" s="2"/>
    </row>
    <row r="245" spans="1:5">
      <c r="A245" s="2">
        <v>244</v>
      </c>
      <c r="B245" s="3" t="s">
        <v>768</v>
      </c>
      <c r="C245" s="2" t="s">
        <v>769</v>
      </c>
      <c r="D245" s="2"/>
      <c r="E245" s="2"/>
    </row>
    <row r="246" spans="1:5">
      <c r="A246" s="2">
        <v>245</v>
      </c>
      <c r="B246" s="3" t="s">
        <v>770</v>
      </c>
      <c r="C246" s="2" t="s">
        <v>771</v>
      </c>
      <c r="D246" s="2"/>
      <c r="E246" s="2"/>
    </row>
    <row r="247" spans="1:5">
      <c r="A247" s="2">
        <v>246</v>
      </c>
      <c r="B247" s="3" t="s">
        <v>772</v>
      </c>
      <c r="C247" s="2" t="s">
        <v>773</v>
      </c>
      <c r="D247" s="2"/>
      <c r="E247" s="2"/>
    </row>
    <row r="248" spans="1:5">
      <c r="A248" s="2">
        <v>247</v>
      </c>
      <c r="B248" s="3" t="s">
        <v>774</v>
      </c>
      <c r="C248" s="2" t="s">
        <v>775</v>
      </c>
      <c r="D248" s="2"/>
      <c r="E248" s="2"/>
    </row>
    <row r="249" spans="1:5">
      <c r="A249" s="2">
        <v>248</v>
      </c>
      <c r="B249" s="3" t="s">
        <v>776</v>
      </c>
      <c r="C249" s="2" t="s">
        <v>777</v>
      </c>
      <c r="D249" s="2"/>
      <c r="E249" s="2"/>
    </row>
    <row r="250" spans="1:5">
      <c r="A250" s="2">
        <v>249</v>
      </c>
      <c r="B250" s="3" t="s">
        <v>778</v>
      </c>
      <c r="C250" s="2" t="s">
        <v>779</v>
      </c>
      <c r="D250" s="2"/>
      <c r="E250" s="2"/>
    </row>
    <row r="251" spans="1:5">
      <c r="A251" s="2">
        <v>250</v>
      </c>
      <c r="B251" s="3" t="s">
        <v>780</v>
      </c>
      <c r="C251" s="2" t="s">
        <v>781</v>
      </c>
      <c r="D251" s="2"/>
      <c r="E251" s="2"/>
    </row>
    <row r="252" spans="1:5">
      <c r="A252" s="2">
        <v>251</v>
      </c>
      <c r="B252" s="3" t="s">
        <v>782</v>
      </c>
      <c r="C252" s="2" t="s">
        <v>783</v>
      </c>
      <c r="D252" s="2"/>
      <c r="E252" s="2"/>
    </row>
    <row r="253" spans="1:5">
      <c r="A253" s="2">
        <v>252</v>
      </c>
      <c r="B253" s="3" t="s">
        <v>784</v>
      </c>
      <c r="C253" s="2" t="s">
        <v>785</v>
      </c>
      <c r="D253" s="2"/>
      <c r="E253" s="2"/>
    </row>
    <row r="254" spans="1:5">
      <c r="A254" s="2">
        <v>253</v>
      </c>
      <c r="B254" s="3" t="s">
        <v>786</v>
      </c>
      <c r="C254" s="2" t="s">
        <v>787</v>
      </c>
      <c r="D254" s="2"/>
      <c r="E254" s="2"/>
    </row>
    <row r="255" spans="1:5">
      <c r="A255" s="2">
        <v>254</v>
      </c>
      <c r="B255" s="3" t="s">
        <v>788</v>
      </c>
      <c r="C255" s="2" t="s">
        <v>789</v>
      </c>
      <c r="D255" s="2"/>
      <c r="E255" s="2"/>
    </row>
    <row r="256" spans="1:5">
      <c r="A256" s="2">
        <v>255</v>
      </c>
      <c r="B256" s="3" t="s">
        <v>790</v>
      </c>
      <c r="C256" s="2" t="s">
        <v>791</v>
      </c>
      <c r="D256" s="2"/>
      <c r="E256" s="2"/>
    </row>
    <row r="257" spans="1:5">
      <c r="A257" s="2">
        <v>256</v>
      </c>
      <c r="B257" s="3" t="s">
        <v>792</v>
      </c>
      <c r="C257" s="2" t="s">
        <v>793</v>
      </c>
      <c r="D257" s="2"/>
      <c r="E257" s="2"/>
    </row>
    <row r="258" spans="1:5">
      <c r="A258" s="2">
        <v>257</v>
      </c>
      <c r="B258" s="3" t="s">
        <v>794</v>
      </c>
      <c r="C258" s="2" t="s">
        <v>795</v>
      </c>
      <c r="D258" s="2"/>
      <c r="E258" s="2"/>
    </row>
    <row r="259" spans="1:5">
      <c r="A259" s="2">
        <v>258</v>
      </c>
      <c r="B259" s="3" t="s">
        <v>796</v>
      </c>
      <c r="C259" s="2" t="s">
        <v>797</v>
      </c>
      <c r="D259" s="2"/>
      <c r="E259" s="2"/>
    </row>
    <row r="260" spans="1:5">
      <c r="A260" s="2">
        <v>259</v>
      </c>
      <c r="B260" s="3" t="s">
        <v>798</v>
      </c>
      <c r="C260" s="2" t="s">
        <v>799</v>
      </c>
      <c r="D260" s="2"/>
      <c r="E260" s="2"/>
    </row>
    <row r="261" spans="1:5">
      <c r="A261" s="2">
        <v>260</v>
      </c>
      <c r="B261" s="3" t="s">
        <v>800</v>
      </c>
      <c r="C261" s="2" t="s">
        <v>801</v>
      </c>
      <c r="D261" s="2"/>
      <c r="E261" s="2"/>
    </row>
    <row r="262" spans="1:5">
      <c r="A262" s="2">
        <v>261</v>
      </c>
      <c r="B262" s="3" t="s">
        <v>802</v>
      </c>
      <c r="C262" s="2" t="s">
        <v>803</v>
      </c>
      <c r="D262" s="2"/>
      <c r="E262" s="2"/>
    </row>
    <row r="263" spans="1:5">
      <c r="A263" s="2">
        <v>262</v>
      </c>
      <c r="B263" s="3" t="s">
        <v>804</v>
      </c>
      <c r="C263" s="2" t="s">
        <v>805</v>
      </c>
      <c r="D263" s="2"/>
      <c r="E263" s="2"/>
    </row>
    <row r="264" spans="1:5">
      <c r="A264" s="2">
        <v>263</v>
      </c>
      <c r="B264" s="3" t="s">
        <v>806</v>
      </c>
      <c r="C264" s="2" t="s">
        <v>807</v>
      </c>
      <c r="D264" s="2"/>
      <c r="E264" s="2"/>
    </row>
    <row r="265" spans="1:5">
      <c r="A265" s="2">
        <v>264</v>
      </c>
      <c r="B265" s="3" t="s">
        <v>808</v>
      </c>
      <c r="C265" s="2" t="s">
        <v>809</v>
      </c>
      <c r="D265" s="2"/>
      <c r="E265" s="2"/>
    </row>
    <row r="266" spans="1:5">
      <c r="A266" s="2">
        <v>265</v>
      </c>
      <c r="B266" s="3" t="s">
        <v>810</v>
      </c>
      <c r="C266" s="2" t="s">
        <v>811</v>
      </c>
      <c r="D266" s="2"/>
      <c r="E266" s="2"/>
    </row>
    <row r="267" spans="1:5">
      <c r="A267" s="2">
        <v>266</v>
      </c>
      <c r="B267" s="3" t="s">
        <v>812</v>
      </c>
      <c r="C267" s="2" t="s">
        <v>813</v>
      </c>
      <c r="D267" s="2"/>
      <c r="E267" s="2"/>
    </row>
    <row r="268" spans="1:5">
      <c r="A268" s="2">
        <v>267</v>
      </c>
      <c r="B268" s="3" t="s">
        <v>814</v>
      </c>
      <c r="C268" s="2" t="s">
        <v>815</v>
      </c>
      <c r="D268" s="2"/>
      <c r="E268" s="2"/>
    </row>
    <row r="269" spans="1:5">
      <c r="A269" s="2">
        <v>268</v>
      </c>
      <c r="B269" s="3" t="s">
        <v>816</v>
      </c>
      <c r="C269" s="2" t="s">
        <v>817</v>
      </c>
      <c r="D269" s="2"/>
      <c r="E269" s="2"/>
    </row>
    <row r="270" spans="1:5">
      <c r="A270" s="2">
        <v>269</v>
      </c>
      <c r="B270" s="3" t="s">
        <v>818</v>
      </c>
      <c r="C270" s="2" t="s">
        <v>819</v>
      </c>
      <c r="D270" s="2"/>
      <c r="E270" s="2"/>
    </row>
    <row r="271" spans="1:5">
      <c r="A271" s="2">
        <v>270</v>
      </c>
      <c r="B271" s="3" t="s">
        <v>820</v>
      </c>
      <c r="C271" s="2" t="s">
        <v>821</v>
      </c>
      <c r="D271" s="2"/>
      <c r="E271" s="2"/>
    </row>
    <row r="272" spans="1:5">
      <c r="A272" s="2">
        <v>271</v>
      </c>
      <c r="B272" s="3" t="s">
        <v>309</v>
      </c>
      <c r="C272" s="2" t="s">
        <v>310</v>
      </c>
      <c r="D272" s="2" t="s">
        <v>310</v>
      </c>
      <c r="E272" s="2">
        <v>1</v>
      </c>
    </row>
    <row r="273" spans="1:5">
      <c r="A273" s="2">
        <v>272</v>
      </c>
      <c r="B273" s="3" t="s">
        <v>822</v>
      </c>
      <c r="C273" s="2" t="s">
        <v>823</v>
      </c>
      <c r="D273" s="2"/>
      <c r="E273" s="2"/>
    </row>
    <row r="274" spans="1:5">
      <c r="A274" s="2">
        <v>273</v>
      </c>
      <c r="B274" s="3" t="s">
        <v>824</v>
      </c>
      <c r="C274" s="2" t="s">
        <v>825</v>
      </c>
      <c r="D274" s="2"/>
      <c r="E274" s="2"/>
    </row>
    <row r="275" spans="1:5">
      <c r="A275" s="2">
        <v>274</v>
      </c>
      <c r="B275" s="3" t="s">
        <v>826</v>
      </c>
      <c r="C275" s="2" t="s">
        <v>827</v>
      </c>
      <c r="D275" s="2"/>
      <c r="E275" s="2"/>
    </row>
    <row r="276" spans="1:5">
      <c r="A276" s="2">
        <v>275</v>
      </c>
      <c r="B276" s="3" t="s">
        <v>828</v>
      </c>
      <c r="C276" s="2" t="s">
        <v>829</v>
      </c>
      <c r="D276" s="2"/>
      <c r="E276" s="2"/>
    </row>
    <row r="277" spans="1:5">
      <c r="A277" s="2">
        <v>276</v>
      </c>
      <c r="B277" s="3" t="s">
        <v>830</v>
      </c>
      <c r="C277" s="2" t="s">
        <v>831</v>
      </c>
      <c r="D277" s="2"/>
      <c r="E277" s="2"/>
    </row>
    <row r="278" spans="1:5">
      <c r="A278" s="2">
        <v>277</v>
      </c>
      <c r="B278" s="3" t="s">
        <v>832</v>
      </c>
      <c r="C278" s="2" t="s">
        <v>833</v>
      </c>
      <c r="D278" s="2"/>
      <c r="E278" s="2"/>
    </row>
    <row r="279" spans="1:5">
      <c r="A279" s="2">
        <v>278</v>
      </c>
      <c r="B279" s="3" t="s">
        <v>834</v>
      </c>
      <c r="C279" s="2" t="s">
        <v>835</v>
      </c>
      <c r="D279" s="2"/>
      <c r="E279" s="2"/>
    </row>
    <row r="280" spans="1:5">
      <c r="A280" s="2">
        <v>279</v>
      </c>
      <c r="B280" s="3" t="s">
        <v>836</v>
      </c>
      <c r="C280" s="2" t="s">
        <v>837</v>
      </c>
      <c r="D280" s="2"/>
      <c r="E280" s="2"/>
    </row>
    <row r="281" spans="1:5">
      <c r="A281" s="2">
        <v>280</v>
      </c>
      <c r="B281" s="3" t="s">
        <v>838</v>
      </c>
      <c r="C281" s="2" t="s">
        <v>839</v>
      </c>
      <c r="D281" s="2"/>
      <c r="E281" s="2"/>
    </row>
    <row r="282" spans="1:5">
      <c r="A282" s="2">
        <v>281</v>
      </c>
      <c r="B282" s="3" t="s">
        <v>840</v>
      </c>
      <c r="C282" s="2" t="s">
        <v>841</v>
      </c>
      <c r="D282" s="2"/>
      <c r="E282" s="2"/>
    </row>
    <row r="283" spans="1:5">
      <c r="A283" s="2">
        <v>282</v>
      </c>
      <c r="B283" s="3" t="s">
        <v>314</v>
      </c>
      <c r="C283" s="2" t="s">
        <v>315</v>
      </c>
      <c r="D283" s="2" t="s">
        <v>842</v>
      </c>
      <c r="E283" s="2">
        <v>1</v>
      </c>
    </row>
    <row r="284" spans="1:5">
      <c r="A284" s="2">
        <v>283</v>
      </c>
      <c r="B284" s="3" t="s">
        <v>843</v>
      </c>
      <c r="C284" s="2" t="s">
        <v>844</v>
      </c>
      <c r="D284" s="2"/>
      <c r="E284" s="2"/>
    </row>
    <row r="285" spans="1:5">
      <c r="A285" s="2">
        <v>284</v>
      </c>
      <c r="B285" s="3" t="s">
        <v>845</v>
      </c>
      <c r="C285" s="2" t="s">
        <v>846</v>
      </c>
      <c r="D285" s="2"/>
      <c r="E285" s="2"/>
    </row>
    <row r="286" spans="1:5">
      <c r="A286" s="2">
        <v>285</v>
      </c>
      <c r="B286" s="3" t="s">
        <v>847</v>
      </c>
      <c r="C286" s="2" t="s">
        <v>848</v>
      </c>
      <c r="D286" s="2" t="s">
        <v>849</v>
      </c>
      <c r="E286" s="2">
        <v>1</v>
      </c>
    </row>
    <row r="287" spans="1:5">
      <c r="A287" s="2">
        <v>286</v>
      </c>
      <c r="B287" s="3" t="s">
        <v>850</v>
      </c>
      <c r="C287" s="2" t="s">
        <v>851</v>
      </c>
      <c r="D287" s="2" t="s">
        <v>852</v>
      </c>
      <c r="E287" s="2">
        <v>1</v>
      </c>
    </row>
    <row r="288" spans="1:5">
      <c r="A288" s="2">
        <v>287</v>
      </c>
      <c r="B288" s="3" t="s">
        <v>853</v>
      </c>
      <c r="C288" s="2" t="s">
        <v>854</v>
      </c>
      <c r="D288" s="2"/>
      <c r="E288" s="2"/>
    </row>
    <row r="289" spans="1:5">
      <c r="A289" s="2">
        <v>288</v>
      </c>
      <c r="B289" s="3" t="s">
        <v>855</v>
      </c>
      <c r="C289" s="2" t="s">
        <v>856</v>
      </c>
      <c r="D289" s="2" t="s">
        <v>857</v>
      </c>
      <c r="E289" s="2">
        <v>1</v>
      </c>
    </row>
    <row r="290" spans="1:5">
      <c r="A290" s="2">
        <v>289</v>
      </c>
      <c r="B290" s="3" t="s">
        <v>858</v>
      </c>
      <c r="C290" s="2" t="s">
        <v>859</v>
      </c>
      <c r="D290" s="2" t="s">
        <v>860</v>
      </c>
      <c r="E290" s="2">
        <v>1</v>
      </c>
    </row>
    <row r="291" spans="1:5">
      <c r="A291" s="2">
        <v>290</v>
      </c>
      <c r="B291" s="3" t="s">
        <v>861</v>
      </c>
      <c r="C291" s="2" t="s">
        <v>862</v>
      </c>
      <c r="D291" s="2"/>
      <c r="E291" s="2"/>
    </row>
    <row r="292" spans="1:5">
      <c r="A292" s="2">
        <v>291</v>
      </c>
      <c r="B292" s="3" t="s">
        <v>863</v>
      </c>
      <c r="C292" s="2" t="s">
        <v>864</v>
      </c>
      <c r="D292" s="2"/>
      <c r="E292" s="2"/>
    </row>
    <row r="293" spans="1:5">
      <c r="A293" s="2">
        <v>292</v>
      </c>
      <c r="B293" s="3" t="s">
        <v>865</v>
      </c>
      <c r="C293" s="2" t="s">
        <v>866</v>
      </c>
      <c r="D293" s="2"/>
      <c r="E293" s="2"/>
    </row>
    <row r="294" spans="1:5">
      <c r="A294" s="2">
        <v>293</v>
      </c>
      <c r="B294" s="3" t="s">
        <v>867</v>
      </c>
      <c r="C294" s="2" t="s">
        <v>868</v>
      </c>
      <c r="D294" s="2"/>
      <c r="E294" s="2"/>
    </row>
    <row r="295" spans="1:5">
      <c r="A295" s="2">
        <v>294</v>
      </c>
      <c r="B295" s="3" t="s">
        <v>869</v>
      </c>
      <c r="C295" s="2" t="s">
        <v>870</v>
      </c>
      <c r="D295" s="2"/>
      <c r="E295" s="2"/>
    </row>
    <row r="296" spans="1:5">
      <c r="A296" s="2">
        <v>295</v>
      </c>
      <c r="B296" s="3" t="s">
        <v>871</v>
      </c>
      <c r="C296" s="2" t="s">
        <v>872</v>
      </c>
      <c r="D296" s="2"/>
      <c r="E296" s="2"/>
    </row>
    <row r="297" spans="1:5">
      <c r="A297" s="2">
        <v>296</v>
      </c>
      <c r="B297" s="3" t="s">
        <v>873</v>
      </c>
      <c r="C297" s="2" t="s">
        <v>874</v>
      </c>
      <c r="D297" s="2"/>
      <c r="E297" s="2"/>
    </row>
    <row r="298" spans="1:5">
      <c r="A298" s="2">
        <v>297</v>
      </c>
      <c r="B298" s="3" t="s">
        <v>875</v>
      </c>
      <c r="C298" s="2" t="s">
        <v>876</v>
      </c>
      <c r="D298" s="2"/>
      <c r="E298" s="2"/>
    </row>
    <row r="299" spans="1:5">
      <c r="A299" s="2">
        <v>298</v>
      </c>
      <c r="B299" s="3" t="s">
        <v>877</v>
      </c>
      <c r="C299" s="2" t="s">
        <v>878</v>
      </c>
      <c r="D299" s="2"/>
      <c r="E299" s="2"/>
    </row>
    <row r="300" spans="1:5">
      <c r="A300" s="2">
        <v>299</v>
      </c>
      <c r="B300" s="3" t="s">
        <v>879</v>
      </c>
      <c r="C300" s="2" t="s">
        <v>880</v>
      </c>
      <c r="D300" s="2"/>
      <c r="E300" s="2"/>
    </row>
    <row r="301" spans="1:5">
      <c r="A301" s="2">
        <v>300</v>
      </c>
      <c r="B301" s="3" t="s">
        <v>881</v>
      </c>
      <c r="C301" s="2" t="s">
        <v>882</v>
      </c>
      <c r="D301" s="2"/>
      <c r="E301" s="2"/>
    </row>
    <row r="302" spans="1:5">
      <c r="A302" s="2">
        <v>301</v>
      </c>
      <c r="B302" s="3" t="s">
        <v>883</v>
      </c>
      <c r="C302" s="2" t="s">
        <v>884</v>
      </c>
      <c r="D302" s="2"/>
      <c r="E302" s="2"/>
    </row>
    <row r="303" spans="1:5">
      <c r="A303" s="2">
        <v>302</v>
      </c>
      <c r="B303" s="3" t="s">
        <v>885</v>
      </c>
      <c r="C303" s="2" t="s">
        <v>886</v>
      </c>
      <c r="D303" s="2"/>
      <c r="E303" s="2"/>
    </row>
    <row r="304" spans="1:5">
      <c r="A304" s="2">
        <v>303</v>
      </c>
      <c r="B304" s="3" t="s">
        <v>887</v>
      </c>
      <c r="C304" s="2" t="s">
        <v>888</v>
      </c>
      <c r="D304" s="2"/>
      <c r="E304" s="2"/>
    </row>
    <row r="305" spans="1:5">
      <c r="A305" s="2">
        <v>304</v>
      </c>
      <c r="B305" s="3" t="s">
        <v>889</v>
      </c>
      <c r="C305" s="2" t="s">
        <v>890</v>
      </c>
      <c r="D305" s="2"/>
      <c r="E305" s="2"/>
    </row>
    <row r="306" spans="1:5">
      <c r="A306" s="2">
        <v>305</v>
      </c>
      <c r="B306" s="3" t="s">
        <v>891</v>
      </c>
      <c r="C306" s="2" t="s">
        <v>892</v>
      </c>
      <c r="D306" s="2"/>
      <c r="E306" s="2"/>
    </row>
    <row r="307" spans="1:5">
      <c r="A307" s="2">
        <v>306</v>
      </c>
      <c r="B307" s="3" t="s">
        <v>893</v>
      </c>
      <c r="C307" s="2" t="s">
        <v>894</v>
      </c>
      <c r="D307" s="2"/>
      <c r="E307" s="2"/>
    </row>
    <row r="308" spans="1:5">
      <c r="A308" s="2">
        <v>307</v>
      </c>
      <c r="B308" s="3" t="s">
        <v>895</v>
      </c>
      <c r="C308" s="2" t="s">
        <v>896</v>
      </c>
      <c r="D308" s="2"/>
      <c r="E308" s="2"/>
    </row>
    <row r="309" spans="1:5">
      <c r="A309" s="2">
        <v>308</v>
      </c>
      <c r="B309" s="3" t="s">
        <v>897</v>
      </c>
      <c r="C309" s="2" t="s">
        <v>898</v>
      </c>
      <c r="D309" s="2"/>
      <c r="E309" s="2"/>
    </row>
    <row r="310" spans="1:5">
      <c r="A310" s="2">
        <v>309</v>
      </c>
      <c r="B310" s="3" t="s">
        <v>899</v>
      </c>
      <c r="C310" s="2" t="s">
        <v>900</v>
      </c>
      <c r="D310" s="2"/>
      <c r="E310" s="2"/>
    </row>
    <row r="311" spans="1:5">
      <c r="A311" s="2">
        <v>310</v>
      </c>
      <c r="B311" s="3" t="s">
        <v>901</v>
      </c>
      <c r="C311" s="2" t="s">
        <v>902</v>
      </c>
      <c r="D311" s="2"/>
      <c r="E311" s="2"/>
    </row>
    <row r="312" spans="1:5">
      <c r="A312" s="2">
        <v>311</v>
      </c>
      <c r="B312" s="3" t="s">
        <v>903</v>
      </c>
      <c r="C312" s="2" t="s">
        <v>904</v>
      </c>
      <c r="D312" s="2"/>
      <c r="E312" s="2"/>
    </row>
    <row r="313" spans="1:5">
      <c r="A313" s="2">
        <v>312</v>
      </c>
      <c r="B313" s="3" t="s">
        <v>905</v>
      </c>
      <c r="C313" s="2" t="s">
        <v>906</v>
      </c>
      <c r="D313" s="2"/>
      <c r="E313" s="2"/>
    </row>
    <row r="314" spans="1:5">
      <c r="A314" s="2">
        <v>313</v>
      </c>
      <c r="B314" s="3" t="s">
        <v>907</v>
      </c>
      <c r="C314" s="2" t="s">
        <v>908</v>
      </c>
      <c r="D314" s="2"/>
      <c r="E314" s="2"/>
    </row>
    <row r="315" spans="1:5">
      <c r="A315" s="2">
        <v>314</v>
      </c>
      <c r="B315" s="3" t="s">
        <v>909</v>
      </c>
      <c r="C315" s="2" t="s">
        <v>910</v>
      </c>
      <c r="D315" s="2"/>
      <c r="E315" s="2"/>
    </row>
    <row r="316" spans="1:5">
      <c r="A316" s="2">
        <v>315</v>
      </c>
      <c r="B316" s="3" t="s">
        <v>911</v>
      </c>
      <c r="C316" s="2" t="s">
        <v>912</v>
      </c>
      <c r="D316" s="2"/>
      <c r="E316" s="2"/>
    </row>
    <row r="317" spans="1:5">
      <c r="A317" s="2">
        <v>316</v>
      </c>
      <c r="B317" s="3" t="s">
        <v>913</v>
      </c>
      <c r="C317" s="2" t="s">
        <v>914</v>
      </c>
      <c r="D317" s="2"/>
      <c r="E317" s="2"/>
    </row>
    <row r="318" spans="1:5">
      <c r="A318" s="2">
        <v>317</v>
      </c>
      <c r="B318" s="3" t="s">
        <v>915</v>
      </c>
      <c r="C318" s="2" t="s">
        <v>916</v>
      </c>
      <c r="D318" s="2"/>
      <c r="E318" s="2"/>
    </row>
    <row r="319" spans="1:5">
      <c r="A319" s="2">
        <v>318</v>
      </c>
      <c r="B319" s="3" t="s">
        <v>917</v>
      </c>
      <c r="C319" s="2" t="s">
        <v>918</v>
      </c>
      <c r="D319" s="2"/>
      <c r="E319" s="2"/>
    </row>
    <row r="320" spans="1:5">
      <c r="A320" s="2">
        <v>319</v>
      </c>
      <c r="B320" s="3" t="s">
        <v>919</v>
      </c>
      <c r="C320" s="2" t="s">
        <v>920</v>
      </c>
      <c r="D320" s="2"/>
      <c r="E320" s="2"/>
    </row>
    <row r="321" spans="1:5">
      <c r="A321" s="2">
        <v>320</v>
      </c>
      <c r="B321" s="3" t="s">
        <v>921</v>
      </c>
      <c r="C321" s="2" t="s">
        <v>922</v>
      </c>
      <c r="D321" s="2"/>
      <c r="E321" s="2"/>
    </row>
    <row r="322" spans="1:5">
      <c r="A322" s="2">
        <v>321</v>
      </c>
      <c r="B322" s="3" t="s">
        <v>923</v>
      </c>
      <c r="C322" s="2" t="s">
        <v>924</v>
      </c>
      <c r="D322" s="2"/>
      <c r="E322" s="2"/>
    </row>
    <row r="323" spans="1:5">
      <c r="A323" s="2">
        <v>322</v>
      </c>
      <c r="B323" s="3" t="s">
        <v>925</v>
      </c>
      <c r="C323" s="2" t="s">
        <v>926</v>
      </c>
      <c r="D323" s="2"/>
      <c r="E323" s="2"/>
    </row>
    <row r="324" spans="1:5">
      <c r="A324" s="2">
        <v>323</v>
      </c>
      <c r="B324" s="3" t="s">
        <v>927</v>
      </c>
      <c r="C324" s="2" t="s">
        <v>928</v>
      </c>
      <c r="D324" s="2"/>
      <c r="E324" s="2"/>
    </row>
    <row r="325" spans="1:5">
      <c r="A325" s="2">
        <v>324</v>
      </c>
      <c r="B325" s="3" t="s">
        <v>929</v>
      </c>
      <c r="C325" s="2" t="s">
        <v>930</v>
      </c>
      <c r="D325" s="2"/>
      <c r="E325" s="2"/>
    </row>
    <row r="326" spans="1:5">
      <c r="A326" s="2">
        <v>325</v>
      </c>
      <c r="B326" s="3" t="s">
        <v>931</v>
      </c>
      <c r="C326" s="2" t="s">
        <v>932</v>
      </c>
      <c r="D326" s="2"/>
      <c r="E326" s="2"/>
    </row>
    <row r="327" spans="1:5">
      <c r="A327" s="2">
        <v>326</v>
      </c>
      <c r="B327" s="3" t="s">
        <v>933</v>
      </c>
      <c r="C327" s="2" t="s">
        <v>934</v>
      </c>
      <c r="D327" s="2"/>
      <c r="E327" s="2"/>
    </row>
    <row r="328" spans="1:5">
      <c r="A328" s="2">
        <v>327</v>
      </c>
      <c r="B328" s="3" t="s">
        <v>935</v>
      </c>
      <c r="C328" s="2" t="s">
        <v>936</v>
      </c>
      <c r="D328" s="2"/>
      <c r="E328" s="2"/>
    </row>
    <row r="329" spans="1:5">
      <c r="A329" s="2">
        <v>328</v>
      </c>
      <c r="B329" s="3" t="s">
        <v>937</v>
      </c>
      <c r="C329" s="2" t="s">
        <v>938</v>
      </c>
      <c r="D329" s="2"/>
      <c r="E329" s="2"/>
    </row>
    <row r="330" spans="1:5">
      <c r="A330" s="2">
        <v>329</v>
      </c>
      <c r="B330" s="3" t="s">
        <v>939</v>
      </c>
      <c r="C330" s="2" t="s">
        <v>940</v>
      </c>
      <c r="D330" s="2"/>
      <c r="E330" s="2"/>
    </row>
    <row r="331" spans="1:5">
      <c r="A331" s="2">
        <v>330</v>
      </c>
      <c r="B331" s="3" t="s">
        <v>941</v>
      </c>
      <c r="C331" s="2" t="s">
        <v>942</v>
      </c>
      <c r="D331" s="2"/>
      <c r="E331" s="2"/>
    </row>
    <row r="332" spans="1:5">
      <c r="A332" s="2">
        <v>331</v>
      </c>
      <c r="B332" s="3" t="s">
        <v>943</v>
      </c>
      <c r="C332" s="2" t="s">
        <v>944</v>
      </c>
      <c r="D332" s="2"/>
      <c r="E3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48A2-C39B-42A1-AA36-54DF440F8244}">
  <dimension ref="A1:F198"/>
  <sheetViews>
    <sheetView workbookViewId="0"/>
  </sheetViews>
  <sheetFormatPr defaultColWidth="37.25" defaultRowHeight="14.25"/>
  <cols>
    <col min="1" max="1" width="5.25" style="13" bestFit="1" customWidth="1"/>
    <col min="2" max="2" width="9" style="13" bestFit="1" customWidth="1"/>
    <col min="3" max="3" width="24" style="13" bestFit="1" customWidth="1"/>
    <col min="4" max="4" width="6" style="13" bestFit="1" customWidth="1"/>
    <col min="5" max="5" width="44.5" style="13" bestFit="1" customWidth="1"/>
    <col min="6" max="6" width="11.375" style="13" bestFit="1" customWidth="1"/>
    <col min="7" max="16384" width="37.25" style="13"/>
  </cols>
  <sheetData>
    <row r="1" spans="1:6" s="7" customFormat="1">
      <c r="A1" s="6" t="s">
        <v>950</v>
      </c>
      <c r="B1" s="14" t="s">
        <v>3</v>
      </c>
      <c r="C1" s="5" t="s">
        <v>4</v>
      </c>
      <c r="D1" s="4" t="s">
        <v>5</v>
      </c>
      <c r="E1" s="5" t="s">
        <v>6</v>
      </c>
      <c r="F1" s="5" t="s">
        <v>7</v>
      </c>
    </row>
    <row r="2" spans="1:6">
      <c r="A2" s="12">
        <v>1</v>
      </c>
      <c r="B2" s="15" t="s">
        <v>9</v>
      </c>
      <c r="C2" s="9" t="s">
        <v>10</v>
      </c>
      <c r="D2" s="10" t="s">
        <v>11</v>
      </c>
      <c r="E2" s="11" t="s">
        <v>12</v>
      </c>
      <c r="F2" s="11" t="s">
        <v>13</v>
      </c>
    </row>
    <row r="3" spans="1:6">
      <c r="A3" s="12">
        <v>2</v>
      </c>
      <c r="B3" s="15" t="s">
        <v>9</v>
      </c>
      <c r="C3" s="9" t="s">
        <v>10</v>
      </c>
      <c r="D3" s="10" t="s">
        <v>14</v>
      </c>
      <c r="E3" s="11" t="s">
        <v>15</v>
      </c>
      <c r="F3" s="11" t="s">
        <v>13</v>
      </c>
    </row>
    <row r="4" spans="1:6">
      <c r="A4" s="12">
        <v>3</v>
      </c>
      <c r="B4" s="15" t="s">
        <v>9</v>
      </c>
      <c r="C4" s="9" t="s">
        <v>10</v>
      </c>
      <c r="D4" s="10" t="s">
        <v>16</v>
      </c>
      <c r="E4" s="11" t="s">
        <v>17</v>
      </c>
      <c r="F4" s="11" t="s">
        <v>13</v>
      </c>
    </row>
    <row r="5" spans="1:6">
      <c r="A5" s="12">
        <v>4</v>
      </c>
      <c r="B5" s="15" t="s">
        <v>9</v>
      </c>
      <c r="C5" s="9" t="s">
        <v>10</v>
      </c>
      <c r="D5" s="10" t="s">
        <v>18</v>
      </c>
      <c r="E5" s="11" t="s">
        <v>19</v>
      </c>
      <c r="F5" s="11" t="s">
        <v>13</v>
      </c>
    </row>
    <row r="6" spans="1:6">
      <c r="A6" s="12">
        <v>5</v>
      </c>
      <c r="B6" s="15" t="s">
        <v>9</v>
      </c>
      <c r="C6" s="9" t="s">
        <v>10</v>
      </c>
      <c r="D6" s="10" t="s">
        <v>20</v>
      </c>
      <c r="E6" s="11" t="s">
        <v>21</v>
      </c>
      <c r="F6" s="11" t="s">
        <v>13</v>
      </c>
    </row>
    <row r="7" spans="1:6">
      <c r="A7" s="12">
        <v>6</v>
      </c>
      <c r="B7" s="15" t="s">
        <v>9</v>
      </c>
      <c r="C7" s="9" t="s">
        <v>10</v>
      </c>
      <c r="D7" s="10" t="s">
        <v>22</v>
      </c>
      <c r="E7" s="11" t="s">
        <v>23</v>
      </c>
      <c r="F7" s="11" t="s">
        <v>13</v>
      </c>
    </row>
    <row r="8" spans="1:6">
      <c r="A8" s="12">
        <v>7</v>
      </c>
      <c r="B8" s="15" t="s">
        <v>9</v>
      </c>
      <c r="C8" s="9" t="s">
        <v>10</v>
      </c>
      <c r="D8" s="10" t="s">
        <v>24</v>
      </c>
      <c r="E8" s="11" t="s">
        <v>25</v>
      </c>
      <c r="F8" s="11" t="s">
        <v>13</v>
      </c>
    </row>
    <row r="9" spans="1:6">
      <c r="A9" s="12">
        <v>8</v>
      </c>
      <c r="B9" s="15" t="s">
        <v>9</v>
      </c>
      <c r="C9" s="9" t="s">
        <v>10</v>
      </c>
      <c r="D9" s="10" t="s">
        <v>26</v>
      </c>
      <c r="E9" s="11" t="s">
        <v>27</v>
      </c>
      <c r="F9" s="11" t="s">
        <v>28</v>
      </c>
    </row>
    <row r="10" spans="1:6">
      <c r="A10" s="12">
        <v>9</v>
      </c>
      <c r="B10" s="15" t="s">
        <v>9</v>
      </c>
      <c r="C10" s="9" t="s">
        <v>10</v>
      </c>
      <c r="D10" s="10" t="s">
        <v>29</v>
      </c>
      <c r="E10" s="11" t="s">
        <v>30</v>
      </c>
      <c r="F10" s="11" t="s">
        <v>28</v>
      </c>
    </row>
    <row r="11" spans="1:6">
      <c r="A11" s="12">
        <v>10</v>
      </c>
      <c r="B11" s="15" t="s">
        <v>9</v>
      </c>
      <c r="C11" s="9" t="s">
        <v>10</v>
      </c>
      <c r="D11" s="10" t="s">
        <v>31</v>
      </c>
      <c r="E11" s="11" t="s">
        <v>32</v>
      </c>
      <c r="F11" s="11" t="s">
        <v>33</v>
      </c>
    </row>
    <row r="12" spans="1:6">
      <c r="A12" s="12">
        <v>11</v>
      </c>
      <c r="B12" s="15" t="s">
        <v>9</v>
      </c>
      <c r="C12" s="9" t="s">
        <v>10</v>
      </c>
      <c r="D12" s="10" t="s">
        <v>34</v>
      </c>
      <c r="E12" s="11" t="s">
        <v>35</v>
      </c>
      <c r="F12" s="11" t="s">
        <v>33</v>
      </c>
    </row>
    <row r="13" spans="1:6">
      <c r="A13" s="12">
        <v>12</v>
      </c>
      <c r="B13" s="15" t="s">
        <v>9</v>
      </c>
      <c r="C13" s="9" t="s">
        <v>10</v>
      </c>
      <c r="D13" s="10" t="s">
        <v>36</v>
      </c>
      <c r="E13" s="11" t="s">
        <v>37</v>
      </c>
      <c r="F13" s="11" t="s">
        <v>13</v>
      </c>
    </row>
    <row r="14" spans="1:6">
      <c r="A14" s="12">
        <v>13</v>
      </c>
      <c r="B14" s="15" t="s">
        <v>9</v>
      </c>
      <c r="C14" s="9" t="s">
        <v>10</v>
      </c>
      <c r="D14" s="10" t="s">
        <v>38</v>
      </c>
      <c r="E14" s="11" t="s">
        <v>39</v>
      </c>
      <c r="F14" s="11" t="s">
        <v>13</v>
      </c>
    </row>
    <row r="15" spans="1:6">
      <c r="A15" s="12">
        <v>14</v>
      </c>
      <c r="B15" s="15" t="s">
        <v>9</v>
      </c>
      <c r="C15" s="9" t="s">
        <v>10</v>
      </c>
      <c r="D15" s="10" t="s">
        <v>40</v>
      </c>
      <c r="E15" s="11" t="s">
        <v>41</v>
      </c>
      <c r="F15" s="11" t="s">
        <v>28</v>
      </c>
    </row>
    <row r="16" spans="1:6">
      <c r="A16" s="12">
        <v>15</v>
      </c>
      <c r="B16" s="15" t="s">
        <v>9</v>
      </c>
      <c r="C16" s="9" t="s">
        <v>10</v>
      </c>
      <c r="D16" s="10" t="s">
        <v>42</v>
      </c>
      <c r="E16" s="11" t="s">
        <v>43</v>
      </c>
      <c r="F16" s="11" t="s">
        <v>44</v>
      </c>
    </row>
    <row r="17" spans="1:6">
      <c r="A17" s="12">
        <v>16</v>
      </c>
      <c r="B17" s="15" t="s">
        <v>9</v>
      </c>
      <c r="C17" s="9" t="s">
        <v>10</v>
      </c>
      <c r="D17" s="10" t="s">
        <v>45</v>
      </c>
      <c r="E17" s="11" t="s">
        <v>46</v>
      </c>
      <c r="F17" s="11" t="s">
        <v>44</v>
      </c>
    </row>
    <row r="18" spans="1:6">
      <c r="A18" s="12">
        <v>17</v>
      </c>
      <c r="B18" s="15" t="s">
        <v>9</v>
      </c>
      <c r="C18" s="9" t="s">
        <v>10</v>
      </c>
      <c r="D18" s="10" t="s">
        <v>47</v>
      </c>
      <c r="E18" s="11" t="s">
        <v>48</v>
      </c>
      <c r="F18" s="11" t="s">
        <v>44</v>
      </c>
    </row>
    <row r="19" spans="1:6">
      <c r="A19" s="12">
        <v>18</v>
      </c>
      <c r="B19" s="15" t="s">
        <v>9</v>
      </c>
      <c r="C19" s="9" t="s">
        <v>10</v>
      </c>
      <c r="D19" s="10" t="s">
        <v>49</v>
      </c>
      <c r="E19" s="11" t="s">
        <v>50</v>
      </c>
      <c r="F19" s="11" t="s">
        <v>44</v>
      </c>
    </row>
    <row r="20" spans="1:6">
      <c r="A20" s="12">
        <v>19</v>
      </c>
      <c r="B20" s="15" t="s">
        <v>9</v>
      </c>
      <c r="C20" s="9" t="s">
        <v>10</v>
      </c>
      <c r="D20" s="10" t="s">
        <v>51</v>
      </c>
      <c r="E20" s="11" t="s">
        <v>52</v>
      </c>
      <c r="F20" s="11" t="s">
        <v>44</v>
      </c>
    </row>
    <row r="21" spans="1:6">
      <c r="A21" s="12">
        <v>20</v>
      </c>
      <c r="B21" s="15" t="s">
        <v>9</v>
      </c>
      <c r="C21" s="9" t="s">
        <v>10</v>
      </c>
      <c r="D21" s="10" t="s">
        <v>53</v>
      </c>
      <c r="E21" s="11" t="s">
        <v>54</v>
      </c>
      <c r="F21" s="11" t="s">
        <v>44</v>
      </c>
    </row>
    <row r="22" spans="1:6">
      <c r="A22" s="12">
        <v>21</v>
      </c>
      <c r="B22" s="15" t="s">
        <v>9</v>
      </c>
      <c r="C22" s="9" t="s">
        <v>10</v>
      </c>
      <c r="D22" s="10" t="s">
        <v>55</v>
      </c>
      <c r="E22" s="11" t="s">
        <v>56</v>
      </c>
      <c r="F22" s="11" t="s">
        <v>44</v>
      </c>
    </row>
    <row r="23" spans="1:6">
      <c r="A23" s="12">
        <v>22</v>
      </c>
      <c r="B23" s="15" t="s">
        <v>9</v>
      </c>
      <c r="C23" s="9" t="s">
        <v>10</v>
      </c>
      <c r="D23" s="10" t="s">
        <v>57</v>
      </c>
      <c r="E23" s="11" t="s">
        <v>58</v>
      </c>
      <c r="F23" s="11" t="s">
        <v>13</v>
      </c>
    </row>
    <row r="24" spans="1:6">
      <c r="A24" s="12">
        <v>23</v>
      </c>
      <c r="B24" s="15" t="s">
        <v>9</v>
      </c>
      <c r="C24" s="9" t="s">
        <v>10</v>
      </c>
      <c r="D24" s="10" t="s">
        <v>59</v>
      </c>
      <c r="E24" s="11" t="s">
        <v>60</v>
      </c>
      <c r="F24" s="11" t="s">
        <v>28</v>
      </c>
    </row>
    <row r="25" spans="1:6">
      <c r="A25" s="12">
        <v>24</v>
      </c>
      <c r="B25" s="15" t="s">
        <v>9</v>
      </c>
      <c r="C25" s="9" t="s">
        <v>10</v>
      </c>
      <c r="D25" s="10" t="s">
        <v>61</v>
      </c>
      <c r="E25" s="11" t="s">
        <v>62</v>
      </c>
      <c r="F25" s="11" t="s">
        <v>28</v>
      </c>
    </row>
    <row r="26" spans="1:6">
      <c r="A26" s="12">
        <v>25</v>
      </c>
      <c r="B26" s="15" t="s">
        <v>9</v>
      </c>
      <c r="C26" s="9" t="s">
        <v>10</v>
      </c>
      <c r="D26" s="10" t="s">
        <v>63</v>
      </c>
      <c r="E26" s="11" t="s">
        <v>64</v>
      </c>
      <c r="F26" s="11" t="s">
        <v>28</v>
      </c>
    </row>
    <row r="27" spans="1:6">
      <c r="A27" s="12">
        <v>26</v>
      </c>
      <c r="B27" s="15" t="s">
        <v>9</v>
      </c>
      <c r="C27" s="9" t="s">
        <v>10</v>
      </c>
      <c r="D27" s="10" t="s">
        <v>65</v>
      </c>
      <c r="E27" s="11" t="s">
        <v>66</v>
      </c>
      <c r="F27" s="11" t="s">
        <v>13</v>
      </c>
    </row>
    <row r="28" spans="1:6">
      <c r="A28" s="12">
        <v>27</v>
      </c>
      <c r="B28" s="15" t="s">
        <v>9</v>
      </c>
      <c r="C28" s="9" t="s">
        <v>10</v>
      </c>
      <c r="D28" s="10" t="s">
        <v>67</v>
      </c>
      <c r="E28" s="11" t="s">
        <v>68</v>
      </c>
      <c r="F28" s="11" t="s">
        <v>28</v>
      </c>
    </row>
    <row r="29" spans="1:6">
      <c r="A29" s="12">
        <v>28</v>
      </c>
      <c r="B29" s="15" t="s">
        <v>9</v>
      </c>
      <c r="C29" s="9" t="s">
        <v>10</v>
      </c>
      <c r="D29" s="10" t="s">
        <v>69</v>
      </c>
      <c r="E29" s="11" t="s">
        <v>70</v>
      </c>
      <c r="F29" s="11" t="s">
        <v>28</v>
      </c>
    </row>
    <row r="30" spans="1:6">
      <c r="A30" s="12">
        <v>29</v>
      </c>
      <c r="B30" s="15" t="s">
        <v>9</v>
      </c>
      <c r="C30" s="9" t="s">
        <v>10</v>
      </c>
      <c r="D30" s="10" t="s">
        <v>71</v>
      </c>
      <c r="E30" s="11" t="s">
        <v>72</v>
      </c>
      <c r="F30" s="11" t="s">
        <v>44</v>
      </c>
    </row>
    <row r="31" spans="1:6">
      <c r="A31" s="12">
        <v>30</v>
      </c>
      <c r="B31" s="15" t="s">
        <v>9</v>
      </c>
      <c r="C31" s="9" t="s">
        <v>10</v>
      </c>
      <c r="D31" s="10" t="s">
        <v>73</v>
      </c>
      <c r="E31" s="11" t="s">
        <v>74</v>
      </c>
      <c r="F31" s="11" t="s">
        <v>44</v>
      </c>
    </row>
    <row r="32" spans="1:6">
      <c r="A32" s="12">
        <v>31</v>
      </c>
      <c r="B32" s="15" t="s">
        <v>9</v>
      </c>
      <c r="C32" s="9" t="s">
        <v>10</v>
      </c>
      <c r="D32" s="10" t="s">
        <v>75</v>
      </c>
      <c r="E32" s="11" t="s">
        <v>76</v>
      </c>
      <c r="F32" s="11" t="s">
        <v>44</v>
      </c>
    </row>
    <row r="33" spans="1:6">
      <c r="A33" s="12">
        <v>32</v>
      </c>
      <c r="B33" s="15" t="s">
        <v>9</v>
      </c>
      <c r="C33" s="9" t="s">
        <v>10</v>
      </c>
      <c r="D33" s="10" t="s">
        <v>77</v>
      </c>
      <c r="E33" s="11" t="s">
        <v>78</v>
      </c>
      <c r="F33" s="11" t="s">
        <v>13</v>
      </c>
    </row>
    <row r="34" spans="1:6">
      <c r="A34" s="12">
        <v>33</v>
      </c>
      <c r="B34" s="15" t="s">
        <v>9</v>
      </c>
      <c r="C34" s="9" t="s">
        <v>10</v>
      </c>
      <c r="D34" s="10" t="s">
        <v>79</v>
      </c>
      <c r="E34" s="11" t="s">
        <v>78</v>
      </c>
      <c r="F34" s="11" t="s">
        <v>28</v>
      </c>
    </row>
    <row r="35" spans="1:6">
      <c r="A35" s="12">
        <v>34</v>
      </c>
      <c r="B35" s="15" t="s">
        <v>80</v>
      </c>
      <c r="C35" s="9" t="s">
        <v>81</v>
      </c>
      <c r="D35" s="8">
        <v>201</v>
      </c>
      <c r="E35" s="9" t="s">
        <v>82</v>
      </c>
      <c r="F35" s="9"/>
    </row>
    <row r="36" spans="1:6">
      <c r="A36" s="12">
        <v>35</v>
      </c>
      <c r="B36" s="15" t="s">
        <v>80</v>
      </c>
      <c r="C36" s="9" t="s">
        <v>81</v>
      </c>
      <c r="D36" s="8">
        <v>202</v>
      </c>
      <c r="E36" s="9" t="s">
        <v>83</v>
      </c>
      <c r="F36" s="9" t="s">
        <v>84</v>
      </c>
    </row>
    <row r="37" spans="1:6">
      <c r="A37" s="12">
        <v>36</v>
      </c>
      <c r="B37" s="15" t="s">
        <v>80</v>
      </c>
      <c r="C37" s="9" t="s">
        <v>81</v>
      </c>
      <c r="D37" s="8">
        <v>203</v>
      </c>
      <c r="E37" s="9" t="s">
        <v>85</v>
      </c>
      <c r="F37" s="9" t="s">
        <v>84</v>
      </c>
    </row>
    <row r="38" spans="1:6">
      <c r="A38" s="12">
        <v>37</v>
      </c>
      <c r="B38" s="15" t="s">
        <v>80</v>
      </c>
      <c r="C38" s="9" t="s">
        <v>81</v>
      </c>
      <c r="D38" s="8">
        <v>204</v>
      </c>
      <c r="E38" s="9" t="s">
        <v>86</v>
      </c>
      <c r="F38" s="9" t="s">
        <v>13</v>
      </c>
    </row>
    <row r="39" spans="1:6">
      <c r="A39" s="12">
        <v>38</v>
      </c>
      <c r="B39" s="15" t="s">
        <v>80</v>
      </c>
      <c r="C39" s="9" t="s">
        <v>81</v>
      </c>
      <c r="D39" s="8">
        <v>205</v>
      </c>
      <c r="E39" s="9" t="s">
        <v>87</v>
      </c>
      <c r="F39" s="9" t="s">
        <v>13</v>
      </c>
    </row>
    <row r="40" spans="1:6">
      <c r="A40" s="12">
        <v>39</v>
      </c>
      <c r="B40" s="15" t="s">
        <v>80</v>
      </c>
      <c r="C40" s="9" t="s">
        <v>81</v>
      </c>
      <c r="D40" s="8">
        <v>206</v>
      </c>
      <c r="E40" s="9" t="s">
        <v>88</v>
      </c>
      <c r="F40" s="9" t="s">
        <v>13</v>
      </c>
    </row>
    <row r="41" spans="1:6">
      <c r="A41" s="12">
        <v>40</v>
      </c>
      <c r="B41" s="15" t="s">
        <v>80</v>
      </c>
      <c r="C41" s="9" t="s">
        <v>81</v>
      </c>
      <c r="D41" s="8">
        <v>207</v>
      </c>
      <c r="E41" s="9" t="s">
        <v>89</v>
      </c>
      <c r="F41" s="9" t="s">
        <v>13</v>
      </c>
    </row>
    <row r="42" spans="1:6">
      <c r="A42" s="12">
        <v>41</v>
      </c>
      <c r="B42" s="15" t="s">
        <v>90</v>
      </c>
      <c r="C42" s="9" t="s">
        <v>91</v>
      </c>
      <c r="D42" s="4">
        <v>413</v>
      </c>
      <c r="E42" s="5" t="s">
        <v>92</v>
      </c>
      <c r="F42" s="5" t="s">
        <v>93</v>
      </c>
    </row>
    <row r="43" spans="1:6">
      <c r="A43" s="12">
        <v>42</v>
      </c>
      <c r="B43" s="15" t="s">
        <v>90</v>
      </c>
      <c r="C43" s="9" t="s">
        <v>91</v>
      </c>
      <c r="D43" s="4">
        <v>414</v>
      </c>
      <c r="E43" s="5" t="s">
        <v>94</v>
      </c>
      <c r="F43" s="5" t="s">
        <v>95</v>
      </c>
    </row>
    <row r="44" spans="1:6">
      <c r="A44" s="12">
        <v>43</v>
      </c>
      <c r="B44" s="15" t="s">
        <v>90</v>
      </c>
      <c r="C44" s="9" t="s">
        <v>91</v>
      </c>
      <c r="D44" s="4">
        <v>415</v>
      </c>
      <c r="E44" s="5" t="s">
        <v>96</v>
      </c>
      <c r="F44" s="5" t="s">
        <v>93</v>
      </c>
    </row>
    <row r="45" spans="1:6">
      <c r="A45" s="12">
        <v>44</v>
      </c>
      <c r="B45" s="15" t="s">
        <v>90</v>
      </c>
      <c r="C45" s="9" t="s">
        <v>91</v>
      </c>
      <c r="D45" s="4">
        <v>416</v>
      </c>
      <c r="E45" s="5" t="s">
        <v>97</v>
      </c>
      <c r="F45" s="5" t="s">
        <v>95</v>
      </c>
    </row>
    <row r="46" spans="1:6">
      <c r="A46" s="12">
        <v>45</v>
      </c>
      <c r="B46" s="15" t="s">
        <v>90</v>
      </c>
      <c r="C46" s="9" t="s">
        <v>91</v>
      </c>
      <c r="D46" s="4">
        <v>426</v>
      </c>
      <c r="E46" s="5" t="s">
        <v>98</v>
      </c>
      <c r="F46" s="5" t="s">
        <v>99</v>
      </c>
    </row>
    <row r="47" spans="1:6">
      <c r="A47" s="12">
        <v>46</v>
      </c>
      <c r="B47" s="15" t="s">
        <v>90</v>
      </c>
      <c r="C47" s="9" t="s">
        <v>91</v>
      </c>
      <c r="D47" s="4">
        <v>417</v>
      </c>
      <c r="E47" s="5" t="s">
        <v>100</v>
      </c>
      <c r="F47" s="5" t="s">
        <v>95</v>
      </c>
    </row>
    <row r="48" spans="1:6">
      <c r="A48" s="12">
        <v>47</v>
      </c>
      <c r="B48" s="15" t="s">
        <v>90</v>
      </c>
      <c r="C48" s="9" t="s">
        <v>91</v>
      </c>
      <c r="D48" s="4">
        <v>418</v>
      </c>
      <c r="E48" s="5" t="s">
        <v>101</v>
      </c>
      <c r="F48" s="5" t="s">
        <v>93</v>
      </c>
    </row>
    <row r="49" spans="1:6">
      <c r="A49" s="12">
        <v>48</v>
      </c>
      <c r="B49" s="15" t="s">
        <v>90</v>
      </c>
      <c r="C49" s="9" t="s">
        <v>91</v>
      </c>
      <c r="D49" s="4">
        <v>408</v>
      </c>
      <c r="E49" s="5" t="s">
        <v>102</v>
      </c>
      <c r="F49" s="5" t="s">
        <v>103</v>
      </c>
    </row>
    <row r="50" spans="1:6">
      <c r="A50" s="12">
        <v>49</v>
      </c>
      <c r="B50" s="15" t="s">
        <v>90</v>
      </c>
      <c r="C50" s="9" t="s">
        <v>91</v>
      </c>
      <c r="D50" s="4">
        <v>409</v>
      </c>
      <c r="E50" s="5" t="s">
        <v>104</v>
      </c>
      <c r="F50" s="5" t="s">
        <v>103</v>
      </c>
    </row>
    <row r="51" spans="1:6">
      <c r="A51" s="12">
        <v>50</v>
      </c>
      <c r="B51" s="15" t="s">
        <v>90</v>
      </c>
      <c r="C51" s="9" t="s">
        <v>91</v>
      </c>
      <c r="D51" s="4">
        <v>419</v>
      </c>
      <c r="E51" s="5" t="s">
        <v>105</v>
      </c>
      <c r="F51" s="5" t="s">
        <v>95</v>
      </c>
    </row>
    <row r="52" spans="1:6">
      <c r="A52" s="12">
        <v>51</v>
      </c>
      <c r="B52" s="15" t="s">
        <v>90</v>
      </c>
      <c r="C52" s="9" t="s">
        <v>91</v>
      </c>
      <c r="D52" s="4">
        <v>420</v>
      </c>
      <c r="E52" s="5" t="s">
        <v>106</v>
      </c>
      <c r="F52" s="5" t="s">
        <v>99</v>
      </c>
    </row>
    <row r="53" spans="1:6">
      <c r="A53" s="12">
        <v>52</v>
      </c>
      <c r="B53" s="15" t="s">
        <v>90</v>
      </c>
      <c r="C53" s="9" t="s">
        <v>91</v>
      </c>
      <c r="D53" s="4">
        <v>421</v>
      </c>
      <c r="E53" s="5" t="s">
        <v>107</v>
      </c>
      <c r="F53" s="5" t="s">
        <v>95</v>
      </c>
    </row>
    <row r="54" spans="1:6">
      <c r="A54" s="12">
        <v>53</v>
      </c>
      <c r="B54" s="15" t="s">
        <v>90</v>
      </c>
      <c r="C54" s="9" t="s">
        <v>91</v>
      </c>
      <c r="D54" s="4">
        <v>422</v>
      </c>
      <c r="E54" s="5" t="s">
        <v>108</v>
      </c>
      <c r="F54" s="5" t="s">
        <v>95</v>
      </c>
    </row>
    <row r="55" spans="1:6">
      <c r="A55" s="12">
        <v>54</v>
      </c>
      <c r="B55" s="15" t="s">
        <v>90</v>
      </c>
      <c r="C55" s="9" t="s">
        <v>91</v>
      </c>
      <c r="D55" s="4">
        <v>423</v>
      </c>
      <c r="E55" s="5" t="s">
        <v>109</v>
      </c>
      <c r="F55" s="5" t="s">
        <v>95</v>
      </c>
    </row>
    <row r="56" spans="1:6">
      <c r="A56" s="12">
        <v>55</v>
      </c>
      <c r="B56" s="15" t="s">
        <v>90</v>
      </c>
      <c r="C56" s="9" t="s">
        <v>91</v>
      </c>
      <c r="D56" s="4">
        <v>424</v>
      </c>
      <c r="E56" s="5" t="s">
        <v>110</v>
      </c>
      <c r="F56" s="5" t="s">
        <v>93</v>
      </c>
    </row>
    <row r="57" spans="1:6">
      <c r="A57" s="12">
        <v>56</v>
      </c>
      <c r="B57" s="15" t="s">
        <v>90</v>
      </c>
      <c r="C57" s="9" t="s">
        <v>91</v>
      </c>
      <c r="D57" s="4">
        <v>425</v>
      </c>
      <c r="E57" s="5" t="s">
        <v>111</v>
      </c>
      <c r="F57" s="5" t="s">
        <v>93</v>
      </c>
    </row>
    <row r="58" spans="1:6">
      <c r="A58" s="12">
        <v>57</v>
      </c>
      <c r="B58" s="15" t="s">
        <v>90</v>
      </c>
      <c r="C58" s="9" t="s">
        <v>91</v>
      </c>
      <c r="D58" s="4">
        <v>429</v>
      </c>
      <c r="E58" s="5" t="s">
        <v>112</v>
      </c>
      <c r="F58" s="5" t="s">
        <v>95</v>
      </c>
    </row>
    <row r="59" spans="1:6">
      <c r="A59" s="12">
        <v>58</v>
      </c>
      <c r="B59" s="15" t="s">
        <v>90</v>
      </c>
      <c r="C59" s="9" t="s">
        <v>91</v>
      </c>
      <c r="D59" s="4">
        <v>427</v>
      </c>
      <c r="E59" s="5" t="s">
        <v>113</v>
      </c>
      <c r="F59" s="5" t="s">
        <v>95</v>
      </c>
    </row>
    <row r="60" spans="1:6">
      <c r="A60" s="12">
        <v>59</v>
      </c>
      <c r="B60" s="15" t="s">
        <v>90</v>
      </c>
      <c r="C60" s="9" t="s">
        <v>91</v>
      </c>
      <c r="D60" s="4">
        <v>430</v>
      </c>
      <c r="E60" s="5" t="s">
        <v>114</v>
      </c>
      <c r="F60" s="5" t="s">
        <v>115</v>
      </c>
    </row>
    <row r="61" spans="1:6">
      <c r="A61" s="12">
        <v>60</v>
      </c>
      <c r="B61" s="15" t="s">
        <v>90</v>
      </c>
      <c r="C61" s="9" t="s">
        <v>91</v>
      </c>
      <c r="D61" s="4">
        <v>431</v>
      </c>
      <c r="E61" s="5" t="s">
        <v>116</v>
      </c>
      <c r="F61" s="5" t="s">
        <v>99</v>
      </c>
    </row>
    <row r="62" spans="1:6">
      <c r="A62" s="12">
        <v>61</v>
      </c>
      <c r="B62" s="15" t="s">
        <v>90</v>
      </c>
      <c r="C62" s="9" t="s">
        <v>91</v>
      </c>
      <c r="D62" s="4">
        <v>432</v>
      </c>
      <c r="E62" s="5" t="s">
        <v>117</v>
      </c>
      <c r="F62" s="5" t="s">
        <v>93</v>
      </c>
    </row>
    <row r="63" spans="1:6">
      <c r="A63" s="12">
        <v>62</v>
      </c>
      <c r="B63" s="15" t="s">
        <v>90</v>
      </c>
      <c r="C63" s="9" t="s">
        <v>91</v>
      </c>
      <c r="D63" s="4">
        <v>433</v>
      </c>
      <c r="E63" s="5" t="s">
        <v>118</v>
      </c>
      <c r="F63" s="5" t="s">
        <v>93</v>
      </c>
    </row>
    <row r="64" spans="1:6">
      <c r="A64" s="12">
        <v>63</v>
      </c>
      <c r="B64" s="15" t="s">
        <v>90</v>
      </c>
      <c r="C64" s="9" t="s">
        <v>91</v>
      </c>
      <c r="D64" s="4">
        <v>435</v>
      </c>
      <c r="E64" s="5" t="s">
        <v>119</v>
      </c>
      <c r="F64" s="5" t="s">
        <v>93</v>
      </c>
    </row>
    <row r="65" spans="1:6">
      <c r="A65" s="12">
        <v>64</v>
      </c>
      <c r="B65" s="15" t="s">
        <v>90</v>
      </c>
      <c r="C65" s="9" t="s">
        <v>91</v>
      </c>
      <c r="D65" s="4">
        <v>436</v>
      </c>
      <c r="E65" s="5" t="s">
        <v>120</v>
      </c>
      <c r="F65" s="5" t="s">
        <v>95</v>
      </c>
    </row>
    <row r="66" spans="1:6">
      <c r="A66" s="12">
        <v>65</v>
      </c>
      <c r="B66" s="15" t="s">
        <v>90</v>
      </c>
      <c r="C66" s="9" t="s">
        <v>91</v>
      </c>
      <c r="D66" s="4">
        <v>437</v>
      </c>
      <c r="E66" s="5" t="s">
        <v>121</v>
      </c>
      <c r="F66" s="5" t="s">
        <v>95</v>
      </c>
    </row>
    <row r="67" spans="1:6">
      <c r="A67" s="12">
        <v>66</v>
      </c>
      <c r="B67" s="15" t="s">
        <v>90</v>
      </c>
      <c r="C67" s="9" t="s">
        <v>91</v>
      </c>
      <c r="D67" s="4">
        <v>438</v>
      </c>
      <c r="E67" s="5" t="s">
        <v>122</v>
      </c>
      <c r="F67" s="5" t="s">
        <v>28</v>
      </c>
    </row>
    <row r="68" spans="1:6">
      <c r="A68" s="12">
        <v>67</v>
      </c>
      <c r="B68" s="15" t="s">
        <v>123</v>
      </c>
      <c r="C68" s="9" t="s">
        <v>124</v>
      </c>
      <c r="D68" s="8">
        <v>504</v>
      </c>
      <c r="E68" s="9" t="s">
        <v>125</v>
      </c>
      <c r="F68" s="9" t="s">
        <v>126</v>
      </c>
    </row>
    <row r="69" spans="1:6">
      <c r="A69" s="12">
        <v>68</v>
      </c>
      <c r="B69" s="15" t="s">
        <v>123</v>
      </c>
      <c r="C69" s="9" t="s">
        <v>124</v>
      </c>
      <c r="D69" s="8">
        <v>502</v>
      </c>
      <c r="E69" s="9" t="s">
        <v>127</v>
      </c>
      <c r="F69" s="9" t="s">
        <v>126</v>
      </c>
    </row>
    <row r="70" spans="1:6">
      <c r="A70" s="12">
        <v>69</v>
      </c>
      <c r="B70" s="15" t="s">
        <v>123</v>
      </c>
      <c r="C70" s="9" t="s">
        <v>124</v>
      </c>
      <c r="D70" s="8">
        <v>501</v>
      </c>
      <c r="E70" s="9" t="s">
        <v>128</v>
      </c>
      <c r="F70" s="9" t="s">
        <v>126</v>
      </c>
    </row>
    <row r="71" spans="1:6">
      <c r="A71" s="12">
        <v>70</v>
      </c>
      <c r="B71" s="15" t="s">
        <v>123</v>
      </c>
      <c r="C71" s="9" t="s">
        <v>124</v>
      </c>
      <c r="D71" s="8">
        <v>503</v>
      </c>
      <c r="E71" s="9" t="s">
        <v>129</v>
      </c>
      <c r="F71" s="9" t="s">
        <v>103</v>
      </c>
    </row>
    <row r="72" spans="1:6">
      <c r="A72" s="12">
        <v>71</v>
      </c>
      <c r="B72" s="15" t="s">
        <v>123</v>
      </c>
      <c r="C72" s="9" t="s">
        <v>124</v>
      </c>
      <c r="D72" s="8">
        <v>507</v>
      </c>
      <c r="E72" s="9" t="s">
        <v>130</v>
      </c>
      <c r="F72" s="9" t="s">
        <v>131</v>
      </c>
    </row>
    <row r="73" spans="1:6">
      <c r="A73" s="12">
        <v>72</v>
      </c>
      <c r="B73" s="15" t="s">
        <v>123</v>
      </c>
      <c r="C73" s="9" t="s">
        <v>124</v>
      </c>
      <c r="D73" s="8">
        <v>505</v>
      </c>
      <c r="E73" s="9" t="s">
        <v>132</v>
      </c>
      <c r="F73" s="9" t="s">
        <v>131</v>
      </c>
    </row>
    <row r="74" spans="1:6">
      <c r="A74" s="12">
        <v>73</v>
      </c>
      <c r="B74" s="15" t="s">
        <v>123</v>
      </c>
      <c r="C74" s="9" t="s">
        <v>124</v>
      </c>
      <c r="D74" s="8">
        <v>506</v>
      </c>
      <c r="E74" s="9" t="s">
        <v>133</v>
      </c>
      <c r="F74" s="9" t="s">
        <v>131</v>
      </c>
    </row>
    <row r="75" spans="1:6">
      <c r="A75" s="12">
        <v>74</v>
      </c>
      <c r="B75" s="15" t="s">
        <v>123</v>
      </c>
      <c r="C75" s="9" t="s">
        <v>124</v>
      </c>
      <c r="D75" s="8">
        <v>510</v>
      </c>
      <c r="E75" s="9" t="s">
        <v>134</v>
      </c>
      <c r="F75" s="9" t="s">
        <v>135</v>
      </c>
    </row>
    <row r="76" spans="1:6">
      <c r="A76" s="12">
        <v>75</v>
      </c>
      <c r="B76" s="15" t="s">
        <v>123</v>
      </c>
      <c r="C76" s="9" t="s">
        <v>124</v>
      </c>
      <c r="D76" s="8">
        <v>511</v>
      </c>
      <c r="E76" s="9" t="s">
        <v>136</v>
      </c>
      <c r="F76" s="9" t="s">
        <v>126</v>
      </c>
    </row>
    <row r="77" spans="1:6">
      <c r="A77" s="12">
        <v>76</v>
      </c>
      <c r="B77" s="15" t="s">
        <v>123</v>
      </c>
      <c r="C77" s="9" t="s">
        <v>124</v>
      </c>
      <c r="D77" s="8">
        <v>512</v>
      </c>
      <c r="E77" s="9" t="s">
        <v>137</v>
      </c>
      <c r="F77" s="9" t="s">
        <v>103</v>
      </c>
    </row>
    <row r="78" spans="1:6">
      <c r="A78" s="12">
        <v>77</v>
      </c>
      <c r="B78" s="15" t="s">
        <v>123</v>
      </c>
      <c r="C78" s="9" t="s">
        <v>124</v>
      </c>
      <c r="D78" s="8">
        <v>513</v>
      </c>
      <c r="E78" s="9" t="s">
        <v>138</v>
      </c>
      <c r="F78" s="9" t="s">
        <v>126</v>
      </c>
    </row>
    <row r="79" spans="1:6">
      <c r="A79" s="12">
        <v>78</v>
      </c>
      <c r="B79" s="15" t="s">
        <v>139</v>
      </c>
      <c r="C79" s="9" t="s">
        <v>140</v>
      </c>
      <c r="D79" s="4">
        <v>801</v>
      </c>
      <c r="E79" s="5" t="s">
        <v>141</v>
      </c>
      <c r="F79" s="5" t="s">
        <v>33</v>
      </c>
    </row>
    <row r="80" spans="1:6">
      <c r="A80" s="12">
        <v>79</v>
      </c>
      <c r="B80" s="15" t="s">
        <v>139</v>
      </c>
      <c r="C80" s="9" t="s">
        <v>140</v>
      </c>
      <c r="D80" s="4">
        <v>802</v>
      </c>
      <c r="E80" s="5" t="s">
        <v>142</v>
      </c>
      <c r="F80" s="5" t="s">
        <v>143</v>
      </c>
    </row>
    <row r="81" spans="1:6">
      <c r="A81" s="12">
        <v>80</v>
      </c>
      <c r="B81" s="15" t="s">
        <v>139</v>
      </c>
      <c r="C81" s="9" t="s">
        <v>140</v>
      </c>
      <c r="D81" s="4">
        <v>803</v>
      </c>
      <c r="E81" s="5" t="s">
        <v>144</v>
      </c>
      <c r="F81" s="5" t="s">
        <v>33</v>
      </c>
    </row>
    <row r="82" spans="1:6">
      <c r="A82" s="12">
        <v>81</v>
      </c>
      <c r="B82" s="15" t="s">
        <v>139</v>
      </c>
      <c r="C82" s="9" t="s">
        <v>140</v>
      </c>
      <c r="D82" s="4">
        <v>804</v>
      </c>
      <c r="E82" s="5" t="s">
        <v>145</v>
      </c>
      <c r="F82" s="5" t="s">
        <v>33</v>
      </c>
    </row>
    <row r="83" spans="1:6">
      <c r="A83" s="12">
        <v>82</v>
      </c>
      <c r="B83" s="15" t="s">
        <v>139</v>
      </c>
      <c r="C83" s="9" t="s">
        <v>140</v>
      </c>
      <c r="D83" s="4">
        <v>805</v>
      </c>
      <c r="E83" s="5" t="s">
        <v>146</v>
      </c>
      <c r="F83" s="5" t="s">
        <v>33</v>
      </c>
    </row>
    <row r="84" spans="1:6">
      <c r="A84" s="12">
        <v>83</v>
      </c>
      <c r="B84" s="15" t="s">
        <v>139</v>
      </c>
      <c r="C84" s="9" t="s">
        <v>140</v>
      </c>
      <c r="D84" s="4">
        <v>806</v>
      </c>
      <c r="E84" s="5" t="s">
        <v>147</v>
      </c>
      <c r="F84" s="5" t="s">
        <v>33</v>
      </c>
    </row>
    <row r="85" spans="1:6">
      <c r="A85" s="12">
        <v>84</v>
      </c>
      <c r="B85" s="15" t="s">
        <v>139</v>
      </c>
      <c r="C85" s="9" t="s">
        <v>140</v>
      </c>
      <c r="D85" s="4">
        <v>807</v>
      </c>
      <c r="E85" s="5" t="s">
        <v>148</v>
      </c>
      <c r="F85" s="5" t="s">
        <v>149</v>
      </c>
    </row>
    <row r="86" spans="1:6">
      <c r="A86" s="12">
        <v>85</v>
      </c>
      <c r="B86" s="15" t="s">
        <v>139</v>
      </c>
      <c r="C86" s="9" t="s">
        <v>140</v>
      </c>
      <c r="D86" s="4">
        <v>808</v>
      </c>
      <c r="E86" s="5" t="s">
        <v>150</v>
      </c>
      <c r="F86" s="5" t="s">
        <v>151</v>
      </c>
    </row>
    <row r="87" spans="1:6">
      <c r="A87" s="12">
        <v>86</v>
      </c>
      <c r="B87" s="15" t="s">
        <v>139</v>
      </c>
      <c r="C87" s="9" t="s">
        <v>140</v>
      </c>
      <c r="D87" s="4">
        <v>809</v>
      </c>
      <c r="E87" s="5" t="s">
        <v>152</v>
      </c>
      <c r="F87" s="5" t="s">
        <v>143</v>
      </c>
    </row>
    <row r="88" spans="1:6">
      <c r="A88" s="12">
        <v>87</v>
      </c>
      <c r="B88" s="15" t="s">
        <v>139</v>
      </c>
      <c r="C88" s="9" t="s">
        <v>140</v>
      </c>
      <c r="D88" s="4">
        <v>810</v>
      </c>
      <c r="E88" s="5" t="s">
        <v>153</v>
      </c>
      <c r="F88" s="5" t="s">
        <v>33</v>
      </c>
    </row>
    <row r="89" spans="1:6">
      <c r="A89" s="12">
        <v>88</v>
      </c>
      <c r="B89" s="15" t="s">
        <v>139</v>
      </c>
      <c r="C89" s="9" t="s">
        <v>140</v>
      </c>
      <c r="D89" s="4">
        <v>811</v>
      </c>
      <c r="E89" s="5" t="s">
        <v>154</v>
      </c>
      <c r="F89" s="5" t="s">
        <v>149</v>
      </c>
    </row>
    <row r="90" spans="1:6">
      <c r="A90" s="12">
        <v>89</v>
      </c>
      <c r="B90" s="15" t="s">
        <v>139</v>
      </c>
      <c r="C90" s="9" t="s">
        <v>140</v>
      </c>
      <c r="D90" s="4">
        <v>814</v>
      </c>
      <c r="E90" s="5" t="s">
        <v>155</v>
      </c>
      <c r="F90" s="5" t="s">
        <v>33</v>
      </c>
    </row>
    <row r="91" spans="1:6">
      <c r="A91" s="12">
        <v>90</v>
      </c>
      <c r="B91" s="15" t="s">
        <v>139</v>
      </c>
      <c r="C91" s="9" t="s">
        <v>140</v>
      </c>
      <c r="D91" s="4">
        <v>815</v>
      </c>
      <c r="E91" s="5" t="s">
        <v>156</v>
      </c>
      <c r="F91" s="5" t="s">
        <v>33</v>
      </c>
    </row>
    <row r="92" spans="1:6">
      <c r="A92" s="12">
        <v>91</v>
      </c>
      <c r="B92" s="15" t="s">
        <v>139</v>
      </c>
      <c r="C92" s="9" t="s">
        <v>140</v>
      </c>
      <c r="D92" s="4">
        <v>818</v>
      </c>
      <c r="E92" s="5" t="s">
        <v>157</v>
      </c>
      <c r="F92" s="5" t="s">
        <v>33</v>
      </c>
    </row>
    <row r="93" spans="1:6">
      <c r="A93" s="12">
        <v>92</v>
      </c>
      <c r="B93" s="15" t="s">
        <v>139</v>
      </c>
      <c r="C93" s="9" t="s">
        <v>140</v>
      </c>
      <c r="D93" s="4">
        <v>822</v>
      </c>
      <c r="E93" s="5" t="s">
        <v>158</v>
      </c>
      <c r="F93" s="5" t="s">
        <v>33</v>
      </c>
    </row>
    <row r="94" spans="1:6">
      <c r="A94" s="12">
        <v>93</v>
      </c>
      <c r="B94" s="15" t="s">
        <v>159</v>
      </c>
      <c r="C94" s="9" t="s">
        <v>160</v>
      </c>
      <c r="D94" s="4">
        <v>906</v>
      </c>
      <c r="E94" s="5" t="s">
        <v>161</v>
      </c>
      <c r="F94" s="5" t="s">
        <v>162</v>
      </c>
    </row>
    <row r="95" spans="1:6">
      <c r="A95" s="12">
        <v>94</v>
      </c>
      <c r="B95" s="15" t="s">
        <v>163</v>
      </c>
      <c r="C95" s="9" t="s">
        <v>164</v>
      </c>
      <c r="D95" s="4">
        <v>1001</v>
      </c>
      <c r="E95" s="5" t="s">
        <v>165</v>
      </c>
      <c r="F95" s="5" t="s">
        <v>166</v>
      </c>
    </row>
    <row r="96" spans="1:6">
      <c r="A96" s="12">
        <v>95</v>
      </c>
      <c r="B96" s="15" t="s">
        <v>163</v>
      </c>
      <c r="C96" s="9" t="s">
        <v>164</v>
      </c>
      <c r="D96" s="4">
        <v>1002</v>
      </c>
      <c r="E96" s="5" t="s">
        <v>167</v>
      </c>
      <c r="F96" s="5" t="s">
        <v>168</v>
      </c>
    </row>
    <row r="97" spans="1:6">
      <c r="A97" s="12">
        <v>96</v>
      </c>
      <c r="B97" s="15" t="s">
        <v>163</v>
      </c>
      <c r="C97" s="9" t="s">
        <v>164</v>
      </c>
      <c r="D97" s="4">
        <v>1003</v>
      </c>
      <c r="E97" s="5" t="s">
        <v>169</v>
      </c>
      <c r="F97" s="5" t="s">
        <v>33</v>
      </c>
    </row>
    <row r="98" spans="1:6">
      <c r="A98" s="12">
        <v>97</v>
      </c>
      <c r="B98" s="15" t="s">
        <v>163</v>
      </c>
      <c r="C98" s="9" t="s">
        <v>164</v>
      </c>
      <c r="D98" s="4">
        <v>1004</v>
      </c>
      <c r="E98" s="5" t="s">
        <v>170</v>
      </c>
      <c r="F98" s="5" t="s">
        <v>162</v>
      </c>
    </row>
    <row r="99" spans="1:6">
      <c r="A99" s="12">
        <v>98</v>
      </c>
      <c r="B99" s="15" t="s">
        <v>163</v>
      </c>
      <c r="C99" s="9" t="s">
        <v>164</v>
      </c>
      <c r="D99" s="4">
        <v>1005</v>
      </c>
      <c r="E99" s="5" t="s">
        <v>171</v>
      </c>
      <c r="F99" s="5" t="s">
        <v>166</v>
      </c>
    </row>
    <row r="100" spans="1:6">
      <c r="A100" s="12">
        <v>99</v>
      </c>
      <c r="B100" s="15" t="s">
        <v>163</v>
      </c>
      <c r="C100" s="9" t="s">
        <v>164</v>
      </c>
      <c r="D100" s="4">
        <v>1006</v>
      </c>
      <c r="E100" s="5" t="s">
        <v>172</v>
      </c>
      <c r="F100" s="5" t="s">
        <v>173</v>
      </c>
    </row>
    <row r="101" spans="1:6">
      <c r="A101" s="12">
        <v>100</v>
      </c>
      <c r="B101" s="15" t="s">
        <v>163</v>
      </c>
      <c r="C101" s="9" t="s">
        <v>164</v>
      </c>
      <c r="D101" s="4">
        <v>1007</v>
      </c>
      <c r="E101" s="5" t="s">
        <v>174</v>
      </c>
      <c r="F101" s="5" t="s">
        <v>175</v>
      </c>
    </row>
    <row r="102" spans="1:6">
      <c r="A102" s="12">
        <v>101</v>
      </c>
      <c r="B102" s="15" t="s">
        <v>163</v>
      </c>
      <c r="C102" s="9" t="s">
        <v>164</v>
      </c>
      <c r="D102" s="4">
        <v>1008</v>
      </c>
      <c r="E102" s="5" t="s">
        <v>176</v>
      </c>
      <c r="F102" s="5" t="s">
        <v>33</v>
      </c>
    </row>
    <row r="103" spans="1:6">
      <c r="A103" s="12">
        <v>102</v>
      </c>
      <c r="B103" s="15" t="s">
        <v>177</v>
      </c>
      <c r="C103" s="9" t="s">
        <v>178</v>
      </c>
      <c r="D103" s="4">
        <v>1101</v>
      </c>
      <c r="E103" s="5" t="s">
        <v>179</v>
      </c>
      <c r="F103" s="5" t="s">
        <v>180</v>
      </c>
    </row>
    <row r="104" spans="1:6">
      <c r="A104" s="12">
        <v>103</v>
      </c>
      <c r="B104" s="15" t="s">
        <v>177</v>
      </c>
      <c r="C104" s="9" t="s">
        <v>178</v>
      </c>
      <c r="D104" s="4">
        <v>1102</v>
      </c>
      <c r="E104" s="5" t="s">
        <v>181</v>
      </c>
      <c r="F104" s="5"/>
    </row>
    <row r="105" spans="1:6">
      <c r="A105" s="12">
        <v>104</v>
      </c>
      <c r="B105" s="15" t="s">
        <v>177</v>
      </c>
      <c r="C105" s="9" t="s">
        <v>178</v>
      </c>
      <c r="D105" s="4">
        <v>1103</v>
      </c>
      <c r="E105" s="5" t="s">
        <v>182</v>
      </c>
      <c r="F105" s="5" t="s">
        <v>180</v>
      </c>
    </row>
    <row r="106" spans="1:6">
      <c r="A106" s="12">
        <v>105</v>
      </c>
      <c r="B106" s="15" t="s">
        <v>177</v>
      </c>
      <c r="C106" s="9" t="s">
        <v>178</v>
      </c>
      <c r="D106" s="4">
        <v>1105</v>
      </c>
      <c r="E106" s="5" t="s">
        <v>183</v>
      </c>
      <c r="F106" s="5" t="s">
        <v>33</v>
      </c>
    </row>
    <row r="107" spans="1:6">
      <c r="A107" s="12">
        <v>106</v>
      </c>
      <c r="B107" s="15" t="s">
        <v>177</v>
      </c>
      <c r="C107" s="9" t="s">
        <v>178</v>
      </c>
      <c r="D107" s="4">
        <v>1106</v>
      </c>
      <c r="E107" s="5" t="s">
        <v>184</v>
      </c>
      <c r="F107" s="5" t="s">
        <v>180</v>
      </c>
    </row>
    <row r="108" spans="1:6">
      <c r="A108" s="12">
        <v>107</v>
      </c>
      <c r="B108" s="15" t="s">
        <v>185</v>
      </c>
      <c r="C108" s="9" t="s">
        <v>186</v>
      </c>
      <c r="D108" s="4">
        <v>1201</v>
      </c>
      <c r="E108" s="5" t="s">
        <v>187</v>
      </c>
      <c r="F108" s="5"/>
    </row>
    <row r="109" spans="1:6">
      <c r="A109" s="12">
        <v>108</v>
      </c>
      <c r="B109" s="15" t="s">
        <v>185</v>
      </c>
      <c r="C109" s="9" t="s">
        <v>186</v>
      </c>
      <c r="D109" s="4">
        <v>1202</v>
      </c>
      <c r="E109" s="5" t="s">
        <v>82</v>
      </c>
      <c r="F109" s="5"/>
    </row>
    <row r="110" spans="1:6">
      <c r="A110" s="12">
        <v>109</v>
      </c>
      <c r="B110" s="15" t="s">
        <v>185</v>
      </c>
      <c r="C110" s="9" t="s">
        <v>186</v>
      </c>
      <c r="D110" s="4">
        <v>1203</v>
      </c>
      <c r="E110" s="5" t="s">
        <v>188</v>
      </c>
      <c r="F110" s="5" t="s">
        <v>33</v>
      </c>
    </row>
    <row r="111" spans="1:6">
      <c r="A111" s="12">
        <v>110</v>
      </c>
      <c r="B111" s="15" t="s">
        <v>185</v>
      </c>
      <c r="C111" s="9" t="s">
        <v>186</v>
      </c>
      <c r="D111" s="4">
        <v>1204</v>
      </c>
      <c r="E111" s="5" t="s">
        <v>189</v>
      </c>
      <c r="F111" s="5" t="s">
        <v>13</v>
      </c>
    </row>
    <row r="112" spans="1:6">
      <c r="A112" s="12">
        <v>111</v>
      </c>
      <c r="B112" s="15" t="s">
        <v>185</v>
      </c>
      <c r="C112" s="9" t="s">
        <v>186</v>
      </c>
      <c r="D112" s="4">
        <v>1205</v>
      </c>
      <c r="E112" s="5" t="s">
        <v>190</v>
      </c>
      <c r="F112" s="5" t="s">
        <v>28</v>
      </c>
    </row>
    <row r="113" spans="1:6">
      <c r="A113" s="12">
        <v>112</v>
      </c>
      <c r="B113" s="15" t="s">
        <v>185</v>
      </c>
      <c r="C113" s="9" t="s">
        <v>186</v>
      </c>
      <c r="D113" s="4">
        <v>1206</v>
      </c>
      <c r="E113" s="5" t="s">
        <v>191</v>
      </c>
      <c r="F113" s="5" t="s">
        <v>13</v>
      </c>
    </row>
    <row r="114" spans="1:6">
      <c r="A114" s="12">
        <v>113</v>
      </c>
      <c r="B114" s="15" t="s">
        <v>185</v>
      </c>
      <c r="C114" s="9" t="s">
        <v>186</v>
      </c>
      <c r="D114" s="4">
        <v>1207</v>
      </c>
      <c r="E114" s="5" t="s">
        <v>192</v>
      </c>
      <c r="F114" s="5" t="s">
        <v>193</v>
      </c>
    </row>
    <row r="115" spans="1:6">
      <c r="A115" s="12">
        <v>114</v>
      </c>
      <c r="B115" s="15" t="s">
        <v>185</v>
      </c>
      <c r="C115" s="9" t="s">
        <v>186</v>
      </c>
      <c r="D115" s="4">
        <v>1208</v>
      </c>
      <c r="E115" s="5" t="s">
        <v>194</v>
      </c>
      <c r="F115" s="5"/>
    </row>
    <row r="116" spans="1:6">
      <c r="A116" s="12">
        <v>115</v>
      </c>
      <c r="B116" s="15" t="s">
        <v>185</v>
      </c>
      <c r="C116" s="9" t="s">
        <v>186</v>
      </c>
      <c r="D116" s="4">
        <v>1209</v>
      </c>
      <c r="E116" s="5" t="s">
        <v>195</v>
      </c>
      <c r="F116" s="5" t="s">
        <v>28</v>
      </c>
    </row>
    <row r="117" spans="1:6">
      <c r="A117" s="12">
        <v>116</v>
      </c>
      <c r="B117" s="15" t="s">
        <v>185</v>
      </c>
      <c r="C117" s="9" t="s">
        <v>186</v>
      </c>
      <c r="D117" s="4">
        <v>1210</v>
      </c>
      <c r="E117" s="5" t="s">
        <v>196</v>
      </c>
      <c r="F117" s="5" t="s">
        <v>197</v>
      </c>
    </row>
    <row r="118" spans="1:6">
      <c r="A118" s="12">
        <v>117</v>
      </c>
      <c r="B118" s="15" t="s">
        <v>198</v>
      </c>
      <c r="C118" s="9" t="s">
        <v>199</v>
      </c>
      <c r="D118" s="4">
        <v>1701</v>
      </c>
      <c r="E118" s="5" t="s">
        <v>200</v>
      </c>
      <c r="F118" s="5" t="s">
        <v>201</v>
      </c>
    </row>
    <row r="119" spans="1:6">
      <c r="A119" s="12">
        <v>118</v>
      </c>
      <c r="B119" s="15" t="s">
        <v>202</v>
      </c>
      <c r="C119" s="9" t="s">
        <v>203</v>
      </c>
      <c r="D119" s="4">
        <v>2401</v>
      </c>
      <c r="E119" s="5" t="s">
        <v>204</v>
      </c>
      <c r="F119" s="5" t="s">
        <v>13</v>
      </c>
    </row>
    <row r="120" spans="1:6">
      <c r="A120" s="12">
        <v>119</v>
      </c>
      <c r="B120" s="15" t="s">
        <v>202</v>
      </c>
      <c r="C120" s="9" t="s">
        <v>203</v>
      </c>
      <c r="D120" s="4">
        <v>2402</v>
      </c>
      <c r="E120" s="5" t="s">
        <v>39</v>
      </c>
      <c r="F120" s="5" t="s">
        <v>13</v>
      </c>
    </row>
    <row r="121" spans="1:6">
      <c r="A121" s="12">
        <v>120</v>
      </c>
      <c r="B121" s="15" t="s">
        <v>202</v>
      </c>
      <c r="C121" s="9" t="s">
        <v>203</v>
      </c>
      <c r="D121" s="4">
        <v>2403</v>
      </c>
      <c r="E121" s="5" t="s">
        <v>205</v>
      </c>
      <c r="F121" s="5" t="s">
        <v>13</v>
      </c>
    </row>
    <row r="122" spans="1:6">
      <c r="A122" s="12">
        <v>121</v>
      </c>
      <c r="B122" s="15" t="s">
        <v>202</v>
      </c>
      <c r="C122" s="9" t="s">
        <v>203</v>
      </c>
      <c r="D122" s="4">
        <v>2404</v>
      </c>
      <c r="E122" s="5" t="s">
        <v>206</v>
      </c>
      <c r="F122" s="5" t="s">
        <v>13</v>
      </c>
    </row>
    <row r="123" spans="1:6">
      <c r="A123" s="12">
        <v>122</v>
      </c>
      <c r="B123" s="15" t="s">
        <v>202</v>
      </c>
      <c r="C123" s="9" t="s">
        <v>203</v>
      </c>
      <c r="D123" s="4">
        <v>2408</v>
      </c>
      <c r="E123" s="5" t="s">
        <v>207</v>
      </c>
      <c r="F123" s="5" t="s">
        <v>149</v>
      </c>
    </row>
    <row r="124" spans="1:6">
      <c r="A124" s="12">
        <v>123</v>
      </c>
      <c r="B124" s="15" t="s">
        <v>202</v>
      </c>
      <c r="C124" s="9" t="s">
        <v>203</v>
      </c>
      <c r="D124" s="4">
        <v>2409</v>
      </c>
      <c r="E124" s="5" t="s">
        <v>207</v>
      </c>
      <c r="F124" s="5" t="s">
        <v>95</v>
      </c>
    </row>
    <row r="125" spans="1:6">
      <c r="A125" s="12">
        <v>124</v>
      </c>
      <c r="B125" s="15" t="s">
        <v>202</v>
      </c>
      <c r="C125" s="9" t="s">
        <v>203</v>
      </c>
      <c r="D125" s="4">
        <v>2406</v>
      </c>
      <c r="E125" s="5" t="s">
        <v>208</v>
      </c>
      <c r="F125" s="5" t="s">
        <v>33</v>
      </c>
    </row>
    <row r="126" spans="1:6">
      <c r="A126" s="12">
        <v>125</v>
      </c>
      <c r="B126" s="15" t="s">
        <v>202</v>
      </c>
      <c r="C126" s="9" t="s">
        <v>203</v>
      </c>
      <c r="D126" s="4">
        <v>2407</v>
      </c>
      <c r="E126" s="5" t="s">
        <v>209</v>
      </c>
      <c r="F126" s="5" t="s">
        <v>33</v>
      </c>
    </row>
    <row r="127" spans="1:6">
      <c r="A127" s="12">
        <v>126</v>
      </c>
      <c r="B127" s="15" t="s">
        <v>210</v>
      </c>
      <c r="C127" s="9" t="s">
        <v>211</v>
      </c>
      <c r="D127" s="4">
        <v>2501</v>
      </c>
      <c r="E127" s="5" t="s">
        <v>212</v>
      </c>
      <c r="F127" s="5" t="s">
        <v>115</v>
      </c>
    </row>
    <row r="128" spans="1:6">
      <c r="A128" s="12">
        <v>127</v>
      </c>
      <c r="B128" s="15" t="s">
        <v>210</v>
      </c>
      <c r="C128" s="9" t="s">
        <v>211</v>
      </c>
      <c r="D128" s="4">
        <v>2505</v>
      </c>
      <c r="E128" s="5" t="s">
        <v>213</v>
      </c>
      <c r="F128" s="5" t="s">
        <v>44</v>
      </c>
    </row>
    <row r="129" spans="1:6">
      <c r="A129" s="12">
        <v>128</v>
      </c>
      <c r="B129" s="15" t="s">
        <v>210</v>
      </c>
      <c r="C129" s="9" t="s">
        <v>211</v>
      </c>
      <c r="D129" s="4">
        <v>2502</v>
      </c>
      <c r="E129" s="5" t="s">
        <v>214</v>
      </c>
      <c r="F129" s="5" t="s">
        <v>115</v>
      </c>
    </row>
    <row r="130" spans="1:6">
      <c r="A130" s="12">
        <v>129</v>
      </c>
      <c r="B130" s="15" t="s">
        <v>210</v>
      </c>
      <c r="C130" s="9" t="s">
        <v>211</v>
      </c>
      <c r="D130" s="4">
        <v>2513</v>
      </c>
      <c r="E130" s="5" t="s">
        <v>215</v>
      </c>
      <c r="F130" s="5" t="s">
        <v>115</v>
      </c>
    </row>
    <row r="131" spans="1:6">
      <c r="A131" s="12">
        <v>130</v>
      </c>
      <c r="B131" s="15" t="s">
        <v>210</v>
      </c>
      <c r="C131" s="9" t="s">
        <v>211</v>
      </c>
      <c r="D131" s="4">
        <v>2514</v>
      </c>
      <c r="E131" s="5" t="s">
        <v>216</v>
      </c>
      <c r="F131" s="5" t="s">
        <v>115</v>
      </c>
    </row>
    <row r="132" spans="1:6">
      <c r="A132" s="12">
        <v>131</v>
      </c>
      <c r="B132" s="15" t="s">
        <v>210</v>
      </c>
      <c r="C132" s="9" t="s">
        <v>211</v>
      </c>
      <c r="D132" s="4">
        <v>2508</v>
      </c>
      <c r="E132" s="5" t="s">
        <v>217</v>
      </c>
      <c r="F132" s="5" t="s">
        <v>149</v>
      </c>
    </row>
    <row r="133" spans="1:6">
      <c r="A133" s="12">
        <v>132</v>
      </c>
      <c r="B133" s="15" t="s">
        <v>210</v>
      </c>
      <c r="C133" s="9" t="s">
        <v>211</v>
      </c>
      <c r="D133" s="4">
        <v>2511</v>
      </c>
      <c r="E133" s="5" t="s">
        <v>218</v>
      </c>
      <c r="F133" s="5" t="s">
        <v>28</v>
      </c>
    </row>
    <row r="134" spans="1:6">
      <c r="A134" s="12">
        <v>133</v>
      </c>
      <c r="B134" s="15" t="s">
        <v>219</v>
      </c>
      <c r="C134" s="9" t="s">
        <v>220</v>
      </c>
      <c r="D134" s="4">
        <v>3801</v>
      </c>
      <c r="E134" s="5" t="s">
        <v>220</v>
      </c>
      <c r="F134" s="5" t="s">
        <v>115</v>
      </c>
    </row>
    <row r="135" spans="1:6">
      <c r="A135" s="12">
        <v>134</v>
      </c>
      <c r="B135" s="15" t="s">
        <v>221</v>
      </c>
      <c r="C135" s="9" t="s">
        <v>222</v>
      </c>
      <c r="D135" s="4">
        <v>3901</v>
      </c>
      <c r="E135" s="5" t="s">
        <v>23</v>
      </c>
      <c r="F135" s="5" t="s">
        <v>13</v>
      </c>
    </row>
    <row r="136" spans="1:6">
      <c r="A136" s="12">
        <v>135</v>
      </c>
      <c r="B136" s="15" t="s">
        <v>223</v>
      </c>
      <c r="C136" s="9" t="s">
        <v>224</v>
      </c>
      <c r="D136" s="4">
        <v>4001</v>
      </c>
      <c r="E136" s="5" t="s">
        <v>225</v>
      </c>
      <c r="F136" s="5" t="s">
        <v>226</v>
      </c>
    </row>
    <row r="137" spans="1:6">
      <c r="A137" s="12">
        <v>136</v>
      </c>
      <c r="B137" s="15" t="s">
        <v>223</v>
      </c>
      <c r="C137" s="9" t="s">
        <v>224</v>
      </c>
      <c r="D137" s="4">
        <v>4006</v>
      </c>
      <c r="E137" s="5" t="s">
        <v>227</v>
      </c>
      <c r="F137" s="5" t="s">
        <v>226</v>
      </c>
    </row>
    <row r="138" spans="1:6">
      <c r="A138" s="12">
        <v>137</v>
      </c>
      <c r="B138" s="15" t="s">
        <v>223</v>
      </c>
      <c r="C138" s="9" t="s">
        <v>224</v>
      </c>
      <c r="D138" s="4">
        <v>4005</v>
      </c>
      <c r="E138" s="5" t="s">
        <v>228</v>
      </c>
      <c r="F138" s="5" t="s">
        <v>226</v>
      </c>
    </row>
    <row r="139" spans="1:6">
      <c r="A139" s="12">
        <v>138</v>
      </c>
      <c r="B139" s="15" t="s">
        <v>229</v>
      </c>
      <c r="C139" s="9" t="s">
        <v>230</v>
      </c>
      <c r="D139" s="8">
        <v>4201</v>
      </c>
      <c r="E139" s="9" t="s">
        <v>35</v>
      </c>
      <c r="F139" s="9" t="s">
        <v>33</v>
      </c>
    </row>
    <row r="140" spans="1:6">
      <c r="A140" s="12">
        <v>139</v>
      </c>
      <c r="B140" s="15" t="s">
        <v>229</v>
      </c>
      <c r="C140" s="9" t="s">
        <v>230</v>
      </c>
      <c r="D140" s="8">
        <v>4202</v>
      </c>
      <c r="E140" s="9" t="s">
        <v>32</v>
      </c>
      <c r="F140" s="9" t="s">
        <v>33</v>
      </c>
    </row>
    <row r="141" spans="1:6">
      <c r="A141" s="12">
        <v>140</v>
      </c>
      <c r="B141" s="15" t="s">
        <v>229</v>
      </c>
      <c r="C141" s="9" t="s">
        <v>230</v>
      </c>
      <c r="D141" s="8">
        <v>4203</v>
      </c>
      <c r="E141" s="9" t="s">
        <v>231</v>
      </c>
      <c r="F141" s="9" t="s">
        <v>13</v>
      </c>
    </row>
    <row r="142" spans="1:6">
      <c r="A142" s="12">
        <v>141</v>
      </c>
      <c r="B142" s="15" t="s">
        <v>229</v>
      </c>
      <c r="C142" s="9" t="s">
        <v>230</v>
      </c>
      <c r="D142" s="8">
        <v>4204</v>
      </c>
      <c r="E142" s="9" t="s">
        <v>189</v>
      </c>
      <c r="F142" s="9" t="s">
        <v>13</v>
      </c>
    </row>
    <row r="143" spans="1:6">
      <c r="A143" s="12">
        <v>142</v>
      </c>
      <c r="B143" s="15" t="s">
        <v>229</v>
      </c>
      <c r="C143" s="9" t="s">
        <v>230</v>
      </c>
      <c r="D143" s="8">
        <v>4205</v>
      </c>
      <c r="E143" s="9" t="s">
        <v>54</v>
      </c>
      <c r="F143" s="9" t="s">
        <v>44</v>
      </c>
    </row>
    <row r="144" spans="1:6">
      <c r="A144" s="12">
        <v>143</v>
      </c>
      <c r="B144" s="15" t="s">
        <v>229</v>
      </c>
      <c r="C144" s="9" t="s">
        <v>230</v>
      </c>
      <c r="D144" s="8">
        <v>4206</v>
      </c>
      <c r="E144" s="9" t="s">
        <v>141</v>
      </c>
      <c r="F144" s="9" t="s">
        <v>149</v>
      </c>
    </row>
    <row r="145" spans="1:6">
      <c r="A145" s="12">
        <v>144</v>
      </c>
      <c r="B145" s="15" t="s">
        <v>229</v>
      </c>
      <c r="C145" s="9" t="s">
        <v>230</v>
      </c>
      <c r="D145" s="8">
        <v>4207</v>
      </c>
      <c r="E145" s="9" t="s">
        <v>144</v>
      </c>
      <c r="F145" s="9" t="s">
        <v>149</v>
      </c>
    </row>
    <row r="146" spans="1:6">
      <c r="A146" s="12">
        <v>145</v>
      </c>
      <c r="B146" s="15" t="s">
        <v>229</v>
      </c>
      <c r="C146" s="9" t="s">
        <v>230</v>
      </c>
      <c r="D146" s="8">
        <v>4208</v>
      </c>
      <c r="E146" s="9" t="s">
        <v>145</v>
      </c>
      <c r="F146" s="9" t="s">
        <v>149</v>
      </c>
    </row>
    <row r="147" spans="1:6">
      <c r="A147" s="12">
        <v>146</v>
      </c>
      <c r="B147" s="15" t="s">
        <v>229</v>
      </c>
      <c r="C147" s="9" t="s">
        <v>230</v>
      </c>
      <c r="D147" s="8">
        <v>4209</v>
      </c>
      <c r="E147" s="9" t="s">
        <v>232</v>
      </c>
      <c r="F147" s="9" t="s">
        <v>13</v>
      </c>
    </row>
    <row r="148" spans="1:6">
      <c r="A148" s="12">
        <v>147</v>
      </c>
      <c r="B148" s="15" t="s">
        <v>233</v>
      </c>
      <c r="C148" s="9" t="s">
        <v>234</v>
      </c>
      <c r="D148" s="4">
        <v>6801</v>
      </c>
      <c r="E148" s="5" t="s">
        <v>12</v>
      </c>
      <c r="F148" s="5" t="s">
        <v>13</v>
      </c>
    </row>
    <row r="149" spans="1:6">
      <c r="A149" s="12">
        <v>148</v>
      </c>
      <c r="B149" s="15" t="s">
        <v>233</v>
      </c>
      <c r="C149" s="9" t="s">
        <v>234</v>
      </c>
      <c r="D149" s="4">
        <v>6802</v>
      </c>
      <c r="E149" s="5" t="s">
        <v>15</v>
      </c>
      <c r="F149" s="5" t="s">
        <v>13</v>
      </c>
    </row>
    <row r="150" spans="1:6">
      <c r="A150" s="12">
        <v>149</v>
      </c>
      <c r="B150" s="15" t="s">
        <v>233</v>
      </c>
      <c r="C150" s="9" t="s">
        <v>234</v>
      </c>
      <c r="D150" s="4">
        <v>6803</v>
      </c>
      <c r="E150" s="5" t="s">
        <v>17</v>
      </c>
      <c r="F150" s="5" t="s">
        <v>13</v>
      </c>
    </row>
    <row r="151" spans="1:6">
      <c r="A151" s="12">
        <v>150</v>
      </c>
      <c r="B151" s="15" t="s">
        <v>233</v>
      </c>
      <c r="C151" s="9" t="s">
        <v>234</v>
      </c>
      <c r="D151" s="4">
        <v>6804</v>
      </c>
      <c r="E151" s="5" t="s">
        <v>19</v>
      </c>
      <c r="F151" s="5" t="s">
        <v>13</v>
      </c>
    </row>
    <row r="152" spans="1:6">
      <c r="A152" s="12">
        <v>151</v>
      </c>
      <c r="B152" s="15" t="s">
        <v>233</v>
      </c>
      <c r="C152" s="9" t="s">
        <v>234</v>
      </c>
      <c r="D152" s="4">
        <v>6805</v>
      </c>
      <c r="E152" s="5" t="s">
        <v>58</v>
      </c>
      <c r="F152" s="5" t="s">
        <v>13</v>
      </c>
    </row>
    <row r="153" spans="1:6">
      <c r="A153" s="12">
        <v>152</v>
      </c>
      <c r="B153" s="15" t="s">
        <v>233</v>
      </c>
      <c r="C153" s="9" t="s">
        <v>234</v>
      </c>
      <c r="D153" s="4">
        <v>6806</v>
      </c>
      <c r="E153" s="5" t="s">
        <v>21</v>
      </c>
      <c r="F153" s="5" t="s">
        <v>13</v>
      </c>
    </row>
    <row r="154" spans="1:6">
      <c r="A154" s="12">
        <v>153</v>
      </c>
      <c r="B154" s="15" t="s">
        <v>233</v>
      </c>
      <c r="C154" s="9" t="s">
        <v>234</v>
      </c>
      <c r="D154" s="4">
        <v>6807</v>
      </c>
      <c r="E154" s="5" t="s">
        <v>189</v>
      </c>
      <c r="F154" s="5" t="s">
        <v>13</v>
      </c>
    </row>
    <row r="155" spans="1:6">
      <c r="A155" s="12">
        <v>154</v>
      </c>
      <c r="B155" s="15" t="s">
        <v>233</v>
      </c>
      <c r="C155" s="9" t="s">
        <v>234</v>
      </c>
      <c r="D155" s="4">
        <v>6808</v>
      </c>
      <c r="E155" s="5" t="s">
        <v>25</v>
      </c>
      <c r="F155" s="5" t="s">
        <v>13</v>
      </c>
    </row>
    <row r="156" spans="1:6">
      <c r="A156" s="12">
        <v>155</v>
      </c>
      <c r="B156" s="15" t="s">
        <v>233</v>
      </c>
      <c r="C156" s="9" t="s">
        <v>234</v>
      </c>
      <c r="D156" s="4">
        <v>6810</v>
      </c>
      <c r="E156" s="5" t="s">
        <v>30</v>
      </c>
      <c r="F156" s="5" t="s">
        <v>13</v>
      </c>
    </row>
    <row r="157" spans="1:6">
      <c r="A157" s="12">
        <v>156</v>
      </c>
      <c r="B157" s="15" t="s">
        <v>233</v>
      </c>
      <c r="C157" s="9" t="s">
        <v>234</v>
      </c>
      <c r="D157" s="4">
        <v>6809</v>
      </c>
      <c r="E157" s="5" t="s">
        <v>27</v>
      </c>
      <c r="F157" s="5" t="s">
        <v>28</v>
      </c>
    </row>
    <row r="158" spans="1:6">
      <c r="A158" s="12">
        <v>157</v>
      </c>
      <c r="B158" s="15" t="s">
        <v>233</v>
      </c>
      <c r="C158" s="9" t="s">
        <v>234</v>
      </c>
      <c r="D158" s="4">
        <v>6811</v>
      </c>
      <c r="E158" s="5" t="s">
        <v>32</v>
      </c>
      <c r="F158" s="5" t="s">
        <v>149</v>
      </c>
    </row>
    <row r="159" spans="1:6">
      <c r="A159" s="12">
        <v>158</v>
      </c>
      <c r="B159" s="15" t="s">
        <v>233</v>
      </c>
      <c r="C159" s="9" t="s">
        <v>234</v>
      </c>
      <c r="D159" s="4">
        <v>6814</v>
      </c>
      <c r="E159" s="5" t="s">
        <v>235</v>
      </c>
      <c r="F159" s="5" t="s">
        <v>149</v>
      </c>
    </row>
    <row r="160" spans="1:6">
      <c r="A160" s="12">
        <v>159</v>
      </c>
      <c r="B160" s="15" t="s">
        <v>233</v>
      </c>
      <c r="C160" s="9" t="s">
        <v>234</v>
      </c>
      <c r="D160" s="4">
        <v>6813</v>
      </c>
      <c r="E160" s="5" t="s">
        <v>50</v>
      </c>
      <c r="F160" s="5" t="s">
        <v>44</v>
      </c>
    </row>
    <row r="161" spans="1:6">
      <c r="A161" s="12">
        <v>160</v>
      </c>
      <c r="B161" s="15" t="s">
        <v>236</v>
      </c>
      <c r="C161" s="9" t="s">
        <v>237</v>
      </c>
      <c r="D161" s="8">
        <v>6902</v>
      </c>
      <c r="E161" s="9" t="s">
        <v>238</v>
      </c>
      <c r="F161" s="9" t="s">
        <v>239</v>
      </c>
    </row>
    <row r="162" spans="1:6">
      <c r="A162" s="12">
        <v>161</v>
      </c>
      <c r="B162" s="15" t="s">
        <v>236</v>
      </c>
      <c r="C162" s="9" t="s">
        <v>237</v>
      </c>
      <c r="D162" s="8">
        <v>6901</v>
      </c>
      <c r="E162" s="9" t="s">
        <v>240</v>
      </c>
      <c r="F162" s="9" t="s">
        <v>239</v>
      </c>
    </row>
    <row r="163" spans="1:6">
      <c r="A163" s="12">
        <v>162</v>
      </c>
      <c r="B163" s="15" t="s">
        <v>241</v>
      </c>
      <c r="C163" s="9" t="s">
        <v>242</v>
      </c>
      <c r="D163" s="4">
        <v>7001</v>
      </c>
      <c r="E163" s="5" t="s">
        <v>242</v>
      </c>
      <c r="F163" s="5" t="s">
        <v>162</v>
      </c>
    </row>
    <row r="164" spans="1:6">
      <c r="A164" s="12">
        <v>163</v>
      </c>
      <c r="B164" s="15" t="s">
        <v>243</v>
      </c>
      <c r="C164" s="9" t="s">
        <v>244</v>
      </c>
      <c r="D164" s="8">
        <v>7501</v>
      </c>
      <c r="E164" s="9" t="s">
        <v>68</v>
      </c>
      <c r="F164" s="9" t="s">
        <v>28</v>
      </c>
    </row>
    <row r="165" spans="1:6">
      <c r="A165" s="12">
        <v>164</v>
      </c>
      <c r="B165" s="15" t="s">
        <v>243</v>
      </c>
      <c r="C165" s="9" t="s">
        <v>244</v>
      </c>
      <c r="D165" s="8">
        <v>7502</v>
      </c>
      <c r="E165" s="9" t="s">
        <v>70</v>
      </c>
      <c r="F165" s="9" t="s">
        <v>28</v>
      </c>
    </row>
    <row r="166" spans="1:6">
      <c r="A166" s="12">
        <v>165</v>
      </c>
      <c r="B166" s="15" t="s">
        <v>243</v>
      </c>
      <c r="C166" s="9" t="s">
        <v>244</v>
      </c>
      <c r="D166" s="8">
        <v>7503</v>
      </c>
      <c r="E166" s="9" t="s">
        <v>19</v>
      </c>
      <c r="F166" s="9" t="s">
        <v>13</v>
      </c>
    </row>
    <row r="167" spans="1:6">
      <c r="A167" s="12">
        <v>166</v>
      </c>
      <c r="B167" s="15" t="s">
        <v>243</v>
      </c>
      <c r="C167" s="9" t="s">
        <v>244</v>
      </c>
      <c r="D167" s="8">
        <v>7504</v>
      </c>
      <c r="E167" s="9" t="s">
        <v>58</v>
      </c>
      <c r="F167" s="9" t="s">
        <v>13</v>
      </c>
    </row>
    <row r="168" spans="1:6">
      <c r="A168" s="12">
        <v>167</v>
      </c>
      <c r="B168" s="15" t="s">
        <v>243</v>
      </c>
      <c r="C168" s="9" t="s">
        <v>244</v>
      </c>
      <c r="D168" s="8">
        <v>7505</v>
      </c>
      <c r="E168" s="9" t="s">
        <v>62</v>
      </c>
      <c r="F168" s="9" t="s">
        <v>13</v>
      </c>
    </row>
    <row r="169" spans="1:6">
      <c r="A169" s="12">
        <v>168</v>
      </c>
      <c r="B169" s="15" t="s">
        <v>245</v>
      </c>
      <c r="C169" s="9" t="s">
        <v>246</v>
      </c>
      <c r="D169" s="4">
        <v>8701</v>
      </c>
      <c r="E169" s="5" t="s">
        <v>246</v>
      </c>
      <c r="F169" s="5" t="s">
        <v>149</v>
      </c>
    </row>
    <row r="170" spans="1:6">
      <c r="A170" s="12">
        <v>169</v>
      </c>
      <c r="B170" s="15" t="s">
        <v>247</v>
      </c>
      <c r="C170" s="9" t="s">
        <v>248</v>
      </c>
      <c r="D170" s="8" t="s">
        <v>249</v>
      </c>
      <c r="E170" s="9" t="s">
        <v>248</v>
      </c>
      <c r="F170" s="9" t="s">
        <v>135</v>
      </c>
    </row>
    <row r="171" spans="1:6">
      <c r="A171" s="12">
        <v>170</v>
      </c>
      <c r="B171" s="15" t="s">
        <v>250</v>
      </c>
      <c r="C171" s="9" t="s">
        <v>251</v>
      </c>
      <c r="D171" s="4" t="s">
        <v>252</v>
      </c>
      <c r="E171" s="5" t="s">
        <v>253</v>
      </c>
      <c r="F171" s="5" t="s">
        <v>149</v>
      </c>
    </row>
    <row r="172" spans="1:6">
      <c r="A172" s="12">
        <v>171</v>
      </c>
      <c r="B172" s="15" t="s">
        <v>254</v>
      </c>
      <c r="C172" s="9" t="s">
        <v>255</v>
      </c>
      <c r="D172" s="4" t="s">
        <v>256</v>
      </c>
      <c r="E172" s="5" t="s">
        <v>257</v>
      </c>
      <c r="F172" s="5" t="s">
        <v>258</v>
      </c>
    </row>
    <row r="173" spans="1:6">
      <c r="A173" s="12">
        <v>172</v>
      </c>
      <c r="B173" s="15" t="s">
        <v>259</v>
      </c>
      <c r="C173" s="9" t="s">
        <v>260</v>
      </c>
      <c r="D173" s="8" t="s">
        <v>261</v>
      </c>
      <c r="E173" s="9" t="s">
        <v>262</v>
      </c>
      <c r="F173" s="9" t="s">
        <v>131</v>
      </c>
    </row>
    <row r="174" spans="1:6">
      <c r="A174" s="12">
        <v>173</v>
      </c>
      <c r="B174" s="15" t="s">
        <v>259</v>
      </c>
      <c r="C174" s="9" t="s">
        <v>260</v>
      </c>
      <c r="D174" s="8" t="s">
        <v>263</v>
      </c>
      <c r="E174" s="9" t="s">
        <v>264</v>
      </c>
      <c r="F174" s="9" t="s">
        <v>265</v>
      </c>
    </row>
    <row r="175" spans="1:6">
      <c r="A175" s="12">
        <v>174</v>
      </c>
      <c r="B175" s="15" t="s">
        <v>259</v>
      </c>
      <c r="C175" s="9" t="s">
        <v>260</v>
      </c>
      <c r="D175" s="8" t="s">
        <v>266</v>
      </c>
      <c r="E175" s="9" t="s">
        <v>267</v>
      </c>
      <c r="F175" s="9" t="s">
        <v>126</v>
      </c>
    </row>
    <row r="176" spans="1:6">
      <c r="A176" s="12">
        <v>175</v>
      </c>
      <c r="B176" s="15" t="s">
        <v>259</v>
      </c>
      <c r="C176" s="9" t="s">
        <v>260</v>
      </c>
      <c r="D176" s="8" t="s">
        <v>268</v>
      </c>
      <c r="E176" s="9" t="s">
        <v>269</v>
      </c>
      <c r="F176" s="9" t="s">
        <v>126</v>
      </c>
    </row>
    <row r="177" spans="1:6">
      <c r="A177" s="12">
        <v>176</v>
      </c>
      <c r="B177" s="15" t="s">
        <v>259</v>
      </c>
      <c r="C177" s="9" t="s">
        <v>260</v>
      </c>
      <c r="D177" s="8" t="s">
        <v>270</v>
      </c>
      <c r="E177" s="9" t="s">
        <v>271</v>
      </c>
      <c r="F177" s="9" t="s">
        <v>126</v>
      </c>
    </row>
    <row r="178" spans="1:6">
      <c r="A178" s="12">
        <v>177</v>
      </c>
      <c r="B178" s="15" t="s">
        <v>259</v>
      </c>
      <c r="C178" s="9" t="s">
        <v>260</v>
      </c>
      <c r="D178" s="8" t="s">
        <v>272</v>
      </c>
      <c r="E178" s="9" t="s">
        <v>273</v>
      </c>
      <c r="F178" s="9" t="s">
        <v>131</v>
      </c>
    </row>
    <row r="179" spans="1:6">
      <c r="A179" s="12">
        <v>178</v>
      </c>
      <c r="B179" s="15" t="s">
        <v>259</v>
      </c>
      <c r="C179" s="9" t="s">
        <v>260</v>
      </c>
      <c r="D179" s="8" t="s">
        <v>274</v>
      </c>
      <c r="E179" s="9" t="s">
        <v>275</v>
      </c>
      <c r="F179" s="9" t="s">
        <v>131</v>
      </c>
    </row>
    <row r="180" spans="1:6">
      <c r="A180" s="12">
        <v>179</v>
      </c>
      <c r="B180" s="15" t="s">
        <v>276</v>
      </c>
      <c r="C180" s="9" t="s">
        <v>277</v>
      </c>
      <c r="D180" s="8" t="s">
        <v>278</v>
      </c>
      <c r="E180" s="9" t="s">
        <v>279</v>
      </c>
      <c r="F180" s="9" t="s">
        <v>126</v>
      </c>
    </row>
    <row r="181" spans="1:6">
      <c r="A181" s="12">
        <v>180</v>
      </c>
      <c r="B181" s="15" t="s">
        <v>276</v>
      </c>
      <c r="C181" s="9" t="s">
        <v>277</v>
      </c>
      <c r="D181" s="8" t="s">
        <v>280</v>
      </c>
      <c r="E181" s="9" t="s">
        <v>281</v>
      </c>
      <c r="F181" s="9" t="s">
        <v>126</v>
      </c>
    </row>
    <row r="182" spans="1:6">
      <c r="A182" s="12">
        <v>181</v>
      </c>
      <c r="B182" s="15" t="s">
        <v>276</v>
      </c>
      <c r="C182" s="9" t="s">
        <v>277</v>
      </c>
      <c r="D182" s="8" t="s">
        <v>282</v>
      </c>
      <c r="E182" s="9" t="s">
        <v>283</v>
      </c>
      <c r="F182" s="9"/>
    </row>
    <row r="183" spans="1:6">
      <c r="A183" s="12">
        <v>182</v>
      </c>
      <c r="B183" s="15" t="s">
        <v>276</v>
      </c>
      <c r="C183" s="9" t="s">
        <v>277</v>
      </c>
      <c r="D183" s="8" t="s">
        <v>284</v>
      </c>
      <c r="E183" s="9" t="s">
        <v>285</v>
      </c>
      <c r="F183" s="9" t="s">
        <v>93</v>
      </c>
    </row>
    <row r="184" spans="1:6">
      <c r="A184" s="12">
        <v>183</v>
      </c>
      <c r="B184" s="15" t="s">
        <v>286</v>
      </c>
      <c r="C184" s="9" t="s">
        <v>287</v>
      </c>
      <c r="D184" s="4" t="s">
        <v>288</v>
      </c>
      <c r="E184" s="5" t="s">
        <v>289</v>
      </c>
      <c r="F184" s="5" t="s">
        <v>126</v>
      </c>
    </row>
    <row r="185" spans="1:6">
      <c r="A185" s="12">
        <v>184</v>
      </c>
      <c r="B185" s="15" t="s">
        <v>290</v>
      </c>
      <c r="C185" s="9" t="s">
        <v>291</v>
      </c>
      <c r="D185" s="4" t="s">
        <v>292</v>
      </c>
      <c r="E185" s="5" t="s">
        <v>293</v>
      </c>
      <c r="F185" s="5" t="s">
        <v>149</v>
      </c>
    </row>
    <row r="186" spans="1:6">
      <c r="A186" s="12">
        <v>185</v>
      </c>
      <c r="B186" s="15" t="s">
        <v>294</v>
      </c>
      <c r="C186" s="9" t="s">
        <v>295</v>
      </c>
      <c r="D186" s="8" t="s">
        <v>296</v>
      </c>
      <c r="E186" s="9" t="s">
        <v>297</v>
      </c>
      <c r="F186" s="9" t="s">
        <v>28</v>
      </c>
    </row>
    <row r="187" spans="1:6">
      <c r="A187" s="12">
        <v>186</v>
      </c>
      <c r="B187" s="15" t="s">
        <v>294</v>
      </c>
      <c r="C187" s="9" t="s">
        <v>295</v>
      </c>
      <c r="D187" s="8" t="s">
        <v>298</v>
      </c>
      <c r="E187" s="9" t="s">
        <v>299</v>
      </c>
      <c r="F187" s="9" t="s">
        <v>44</v>
      </c>
    </row>
    <row r="188" spans="1:6">
      <c r="A188" s="12">
        <v>187</v>
      </c>
      <c r="B188" s="15" t="s">
        <v>294</v>
      </c>
      <c r="C188" s="9" t="s">
        <v>295</v>
      </c>
      <c r="D188" s="8" t="s">
        <v>300</v>
      </c>
      <c r="E188" s="9" t="s">
        <v>301</v>
      </c>
      <c r="F188" s="9" t="s">
        <v>131</v>
      </c>
    </row>
    <row r="189" spans="1:6">
      <c r="A189" s="12">
        <v>188</v>
      </c>
      <c r="B189" s="15" t="s">
        <v>294</v>
      </c>
      <c r="C189" s="9" t="s">
        <v>295</v>
      </c>
      <c r="D189" s="8" t="s">
        <v>302</v>
      </c>
      <c r="E189" s="9" t="s">
        <v>303</v>
      </c>
      <c r="F189" s="9" t="s">
        <v>28</v>
      </c>
    </row>
    <row r="190" spans="1:6">
      <c r="A190" s="12">
        <v>189</v>
      </c>
      <c r="B190" s="15" t="s">
        <v>294</v>
      </c>
      <c r="C190" s="9" t="s">
        <v>295</v>
      </c>
      <c r="D190" s="8" t="s">
        <v>304</v>
      </c>
      <c r="E190" s="9" t="s">
        <v>305</v>
      </c>
      <c r="F190" s="9" t="s">
        <v>13</v>
      </c>
    </row>
    <row r="191" spans="1:6">
      <c r="A191" s="12">
        <v>190</v>
      </c>
      <c r="B191" s="15" t="s">
        <v>294</v>
      </c>
      <c r="C191" s="9" t="s">
        <v>295</v>
      </c>
      <c r="D191" s="8" t="s">
        <v>306</v>
      </c>
      <c r="E191" s="9" t="s">
        <v>232</v>
      </c>
      <c r="F191" s="9" t="s">
        <v>13</v>
      </c>
    </row>
    <row r="192" spans="1:6">
      <c r="A192" s="12">
        <v>191</v>
      </c>
      <c r="B192" s="15" t="s">
        <v>294</v>
      </c>
      <c r="C192" s="9" t="s">
        <v>295</v>
      </c>
      <c r="D192" s="8" t="s">
        <v>307</v>
      </c>
      <c r="E192" s="9" t="s">
        <v>308</v>
      </c>
      <c r="F192" s="9" t="s">
        <v>13</v>
      </c>
    </row>
    <row r="193" spans="1:6">
      <c r="A193" s="12">
        <v>192</v>
      </c>
      <c r="B193" s="15" t="s">
        <v>309</v>
      </c>
      <c r="C193" s="9" t="s">
        <v>310</v>
      </c>
      <c r="D193" s="4" t="s">
        <v>311</v>
      </c>
      <c r="E193" s="5" t="s">
        <v>312</v>
      </c>
      <c r="F193" s="5" t="s">
        <v>313</v>
      </c>
    </row>
    <row r="194" spans="1:6">
      <c r="A194" s="12">
        <v>193</v>
      </c>
      <c r="B194" s="15" t="s">
        <v>314</v>
      </c>
      <c r="C194" s="9" t="s">
        <v>315</v>
      </c>
      <c r="D194" s="4" t="s">
        <v>316</v>
      </c>
      <c r="E194" s="5" t="s">
        <v>317</v>
      </c>
      <c r="F194" s="5" t="s">
        <v>44</v>
      </c>
    </row>
    <row r="195" spans="1:6">
      <c r="A195" s="12">
        <v>194</v>
      </c>
      <c r="B195" s="15" t="s">
        <v>314</v>
      </c>
      <c r="C195" s="9" t="s">
        <v>315</v>
      </c>
      <c r="D195" s="4" t="s">
        <v>318</v>
      </c>
      <c r="E195" s="5" t="s">
        <v>319</v>
      </c>
      <c r="F195" s="5" t="s">
        <v>44</v>
      </c>
    </row>
    <row r="196" spans="1:6">
      <c r="A196" s="12">
        <v>195</v>
      </c>
      <c r="B196" s="15" t="s">
        <v>314</v>
      </c>
      <c r="C196" s="9" t="s">
        <v>315</v>
      </c>
      <c r="D196" s="4" t="s">
        <v>320</v>
      </c>
      <c r="E196" s="5" t="s">
        <v>321</v>
      </c>
      <c r="F196" s="5" t="s">
        <v>44</v>
      </c>
    </row>
    <row r="197" spans="1:6">
      <c r="A197" s="12">
        <v>196</v>
      </c>
      <c r="B197" s="15" t="s">
        <v>314</v>
      </c>
      <c r="C197" s="9" t="s">
        <v>315</v>
      </c>
      <c r="D197" s="4" t="s">
        <v>322</v>
      </c>
      <c r="E197" s="5" t="s">
        <v>323</v>
      </c>
      <c r="F197" s="5" t="s">
        <v>44</v>
      </c>
    </row>
    <row r="198" spans="1:6">
      <c r="A198" s="12">
        <v>197</v>
      </c>
      <c r="B198" s="15" t="s">
        <v>314</v>
      </c>
      <c r="C198" s="9" t="s">
        <v>315</v>
      </c>
      <c r="D198" s="4" t="s">
        <v>324</v>
      </c>
      <c r="E198" s="5" t="s">
        <v>325</v>
      </c>
      <c r="F198" s="5" t="s">
        <v>326</v>
      </c>
    </row>
  </sheetData>
  <phoneticPr fontId="1" type="noConversion"/>
  <conditionalFormatting sqref="D1:D1048576">
    <cfRule type="duplicateValues" dxfId="3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0A67-0837-41E0-9A7B-979DDC06EFD7}">
  <dimension ref="A1:G17"/>
  <sheetViews>
    <sheetView showGridLines="0" tabSelected="1" zoomScaleNormal="100" workbookViewId="0"/>
  </sheetViews>
  <sheetFormatPr defaultColWidth="18.125" defaultRowHeight="32.1" customHeight="1"/>
  <cols>
    <col min="1" max="16384" width="18.125" style="38"/>
  </cols>
  <sheetData>
    <row r="1" spans="1:7" s="22" customFormat="1" ht="32.1" customHeight="1">
      <c r="A1" s="18" t="s">
        <v>973</v>
      </c>
      <c r="B1" s="16" t="s">
        <v>952</v>
      </c>
      <c r="C1" s="16" t="s">
        <v>953</v>
      </c>
      <c r="D1" s="51" t="s">
        <v>954</v>
      </c>
      <c r="E1" s="19" t="s">
        <v>972</v>
      </c>
      <c r="F1" s="20" t="s">
        <v>948</v>
      </c>
      <c r="G1" s="21" t="s">
        <v>949</v>
      </c>
    </row>
    <row r="2" spans="1:7" s="22" customFormat="1" ht="32.1" customHeight="1">
      <c r="A2" s="52" t="s">
        <v>974</v>
      </c>
      <c r="B2" s="25" t="s">
        <v>327</v>
      </c>
      <c r="C2" s="25" t="s">
        <v>1</v>
      </c>
      <c r="D2" s="53">
        <v>6</v>
      </c>
      <c r="E2" s="26">
        <f>ABS(AVERAGE(样本表[标准差指数(SDI)]))</f>
        <v>0.81937728937728682</v>
      </c>
      <c r="F2" s="27" cm="1">
        <f t="array" ref="F2">项目表[允许总误差(TEa)(%)]*0.75</f>
        <v>4.5</v>
      </c>
      <c r="G2" s="28" cm="1">
        <f t="array" ref="G2">项目表[允许总误差(TEa)(%)]*0.5</f>
        <v>3</v>
      </c>
    </row>
    <row r="3" spans="1:7" s="22" customFormat="1" ht="32.1" customHeight="1"/>
    <row r="4" spans="1:7" s="22" customFormat="1" ht="32.1" customHeight="1">
      <c r="A4" s="18" t="s">
        <v>0</v>
      </c>
      <c r="B4" s="16" t="s">
        <v>945</v>
      </c>
      <c r="C4" s="16" t="s">
        <v>971</v>
      </c>
      <c r="D4" s="16" t="s">
        <v>946</v>
      </c>
      <c r="E4" s="20" t="s">
        <v>2</v>
      </c>
      <c r="F4" s="20" t="s">
        <v>947</v>
      </c>
      <c r="G4" s="21" t="s">
        <v>951</v>
      </c>
    </row>
    <row r="5" spans="1:7" s="22" customFormat="1" ht="32.1" customHeight="1">
      <c r="A5" s="29">
        <v>202411</v>
      </c>
      <c r="B5" s="30">
        <v>2.92</v>
      </c>
      <c r="C5" s="30">
        <v>2.83</v>
      </c>
      <c r="D5" s="30">
        <v>0.04</v>
      </c>
      <c r="E5" s="33">
        <f>(样本表[[#This Row],[本室测定值]]-样本表[[#This Row],[同组均值或中位数]])/样本表[[#This Row],[同组均值或中位数]]*100</f>
        <v>3.1802120141342707</v>
      </c>
      <c r="F5" s="33">
        <f>(样本表[[#This Row],[本室测定值]]-样本表[[#This Row],[同组均值或中位数]])/样本表[[#This Row],[同组标准差]]</f>
        <v>2.2499999999999964</v>
      </c>
      <c r="G5" s="32">
        <f>ABS(样本表[[#This Row],[标准差指数(SDI)]])</f>
        <v>2.2499999999999964</v>
      </c>
    </row>
    <row r="6" spans="1:7" s="22" customFormat="1" ht="32.1" customHeight="1">
      <c r="A6" s="29">
        <v>202412</v>
      </c>
      <c r="B6" s="30">
        <v>4.68</v>
      </c>
      <c r="C6" s="30">
        <v>4.7</v>
      </c>
      <c r="D6" s="30">
        <v>1.95</v>
      </c>
      <c r="E6" s="33">
        <f>(样本表[[#This Row],[本室测定值]]-样本表[[#This Row],[同组均值或中位数]])/样本表[[#This Row],[同组均值或中位数]]*100</f>
        <v>-0.42553191489362685</v>
      </c>
      <c r="F6" s="33">
        <f>(样本表[[#This Row],[本室测定值]]-样本表[[#This Row],[同组均值或中位数]])/样本表[[#This Row],[同组标准差]]</f>
        <v>-1.0256410256410494E-2</v>
      </c>
      <c r="G6" s="32">
        <f>ABS(样本表[[#This Row],[标准差指数(SDI)]])</f>
        <v>1.0256410256410494E-2</v>
      </c>
    </row>
    <row r="7" spans="1:7" s="22" customFormat="1" ht="32.1" customHeight="1">
      <c r="A7" s="29">
        <v>202413</v>
      </c>
      <c r="B7" s="30">
        <v>5.93</v>
      </c>
      <c r="C7" s="30">
        <v>5.86</v>
      </c>
      <c r="D7" s="30">
        <v>7.0000000000000007E-2</v>
      </c>
      <c r="E7" s="33">
        <f>(样本表[[#This Row],[本室测定值]]-样本表[[#This Row],[同组均值或中位数]])/样本表[[#This Row],[同组均值或中位数]]*100</f>
        <v>1.1945392491467473</v>
      </c>
      <c r="F7" s="33">
        <f>(样本表[[#This Row],[本室测定值]]-样本表[[#This Row],[同组均值或中位数]])/样本表[[#This Row],[同组标准差]]</f>
        <v>0.99999999999999123</v>
      </c>
      <c r="G7" s="32">
        <f>ABS(样本表[[#This Row],[标准差指数(SDI)]])</f>
        <v>0.99999999999999123</v>
      </c>
    </row>
    <row r="8" spans="1:7" s="22" customFormat="1" ht="32.1" customHeight="1">
      <c r="A8" s="29">
        <v>202414</v>
      </c>
      <c r="B8" s="30">
        <v>4.3099999999999996</v>
      </c>
      <c r="C8" s="30">
        <v>4.26</v>
      </c>
      <c r="D8" s="30">
        <v>0.05</v>
      </c>
      <c r="E8" s="33">
        <f>(样本表[[#This Row],[本室测定值]]-样本表[[#This Row],[同组均值或中位数]])/样本表[[#This Row],[同组均值或中位数]]*100</f>
        <v>1.1737089201877893</v>
      </c>
      <c r="F8" s="33">
        <f>(样本表[[#This Row],[本室测定值]]-样本表[[#This Row],[同组均值或中位数]])/样本表[[#This Row],[同组标准差]]</f>
        <v>0.99999999999999645</v>
      </c>
      <c r="G8" s="32">
        <f>ABS(样本表[[#This Row],[标准差指数(SDI)]])</f>
        <v>0.99999999999999645</v>
      </c>
    </row>
    <row r="9" spans="1:7" s="22" customFormat="1" ht="32.1" customHeight="1">
      <c r="A9" s="24">
        <v>202415</v>
      </c>
      <c r="B9" s="34">
        <v>6.75</v>
      </c>
      <c r="C9" s="34">
        <v>6.76</v>
      </c>
      <c r="D9" s="34">
        <v>7.0000000000000007E-2</v>
      </c>
      <c r="E9" s="27">
        <f>(样本表[[#This Row],[本室测定值]]-样本表[[#This Row],[同组均值或中位数]])/样本表[[#This Row],[同组均值或中位数]]*100</f>
        <v>-0.14792899408283708</v>
      </c>
      <c r="F9" s="27">
        <f>(样本表[[#This Row],[本室测定值]]-样本表[[#This Row],[同组均值或中位数]])/样本表[[#This Row],[同组标准差]]</f>
        <v>-0.1428571428571398</v>
      </c>
      <c r="G9" s="28">
        <f>ABS(样本表[[#This Row],[标准差指数(SDI)]])</f>
        <v>0.1428571428571398</v>
      </c>
    </row>
    <row r="10" spans="1:7" s="22" customFormat="1" ht="32.1" customHeight="1">
      <c r="B10" s="35"/>
      <c r="C10" s="35"/>
      <c r="D10" s="35"/>
      <c r="E10" s="36"/>
      <c r="F10" s="36"/>
      <c r="G10" s="36"/>
    </row>
    <row r="11" spans="1:7" ht="32.1" customHeight="1">
      <c r="A11" s="37" t="s">
        <v>955</v>
      </c>
      <c r="B11" s="44" t="s">
        <v>969</v>
      </c>
      <c r="C11" s="44"/>
      <c r="D11" s="44"/>
      <c r="E11" s="37" t="s">
        <v>956</v>
      </c>
      <c r="F11" s="44" t="s">
        <v>957</v>
      </c>
      <c r="G11" s="44"/>
    </row>
    <row r="12" spans="1:7" ht="32.1" customHeight="1">
      <c r="A12" s="39" t="s">
        <v>958</v>
      </c>
      <c r="B12" s="54" t="s">
        <v>964</v>
      </c>
      <c r="C12" s="54"/>
      <c r="D12" s="54"/>
      <c r="E12" s="40" t="b" cm="1">
        <f t="array" ref="E12">计算表[平均SDI的绝对值]&gt;1.5</f>
        <v>0</v>
      </c>
      <c r="F12" s="43" t="str">
        <f>IF(E12,"违反本规则，提示存在系统误差","未违反本规则")</f>
        <v>未违反本规则</v>
      </c>
      <c r="G12" s="43"/>
    </row>
    <row r="13" spans="1:7" ht="32.1" customHeight="1">
      <c r="A13" s="41" t="s">
        <v>959</v>
      </c>
      <c r="B13" s="54" t="s">
        <v>965</v>
      </c>
      <c r="C13" s="54"/>
      <c r="D13" s="54"/>
      <c r="E13" s="40" t="b" cm="1">
        <f t="array" ref="E13">MAX(ABS(样本表[SDI绝对值] - TRANSPOSE(样本表[SDI绝对值]))) &gt; 4</f>
        <v>0</v>
      </c>
      <c r="F13" s="43" t="str">
        <f>IF(E13,"违反本规则，提示存在随机误差","未违反本规则")</f>
        <v>未违反本规则</v>
      </c>
      <c r="G13" s="43"/>
    </row>
    <row r="14" spans="1:7" ht="32.1" customHeight="1">
      <c r="A14" s="41" t="s">
        <v>960</v>
      </c>
      <c r="B14" s="54" t="s">
        <v>963</v>
      </c>
      <c r="C14" s="54"/>
      <c r="D14" s="54"/>
      <c r="E14" s="40" t="b" cm="1">
        <f t="array" ref="E14">SUMPRODUCT(--(ABS(样本表[相对偏倚(%)])&gt;计算表[75%TEa]))&gt;0</f>
        <v>0</v>
      </c>
      <c r="F14" s="43" t="str">
        <f>IF(E14,"违反本规则，不能确定存在系统误差或随机误差","未违反本规则")</f>
        <v>未违反本规则</v>
      </c>
      <c r="G14" s="43"/>
    </row>
    <row r="15" spans="1:7" ht="32.1" customHeight="1">
      <c r="A15" s="55" t="s">
        <v>970</v>
      </c>
      <c r="B15" s="54" t="s">
        <v>966</v>
      </c>
      <c r="C15" s="54"/>
      <c r="D15" s="54"/>
      <c r="E15" s="40" t="b" cm="1">
        <f t="array" ref="E15">AND(OR(MIN(样本表[相对偏倚(%)])&gt;0,MAX(样本表[相对偏倚(%)])&lt;0),MAX(ABS(样本表[相对偏倚(%)]))&gt;计算表[50%TEa])</f>
        <v>0</v>
      </c>
      <c r="F15" s="43" t="str">
        <f>IF(E15,"违反本规则，提示存在系统误差","未违反本规则")</f>
        <v>未违反本规则</v>
      </c>
      <c r="G15" s="43"/>
    </row>
    <row r="16" spans="1:7" ht="32.1" customHeight="1">
      <c r="A16" s="41" t="s">
        <v>961</v>
      </c>
      <c r="B16" s="54" t="s">
        <v>967</v>
      </c>
      <c r="C16" s="54"/>
      <c r="D16" s="54"/>
      <c r="E16" s="40" t="b" cm="1">
        <f t="array" ref="E16">计算表[平均SDI的绝对值]&gt;1</f>
        <v>0</v>
      </c>
      <c r="F16" s="43" t="str">
        <f>IF(E16,"违反本规则，提示存在系统误差","未违反本规则")</f>
        <v>未违反本规则</v>
      </c>
      <c r="G16" s="43"/>
    </row>
    <row r="17" spans="1:7" ht="32.1" customHeight="1">
      <c r="A17" s="41" t="s">
        <v>962</v>
      </c>
      <c r="B17" s="54" t="s">
        <v>968</v>
      </c>
      <c r="C17" s="54"/>
      <c r="D17" s="54"/>
      <c r="E17" s="40" t="b" cm="1">
        <f t="array" ref="E17">MAX(ABS(样本表[标准差指数(SDI)] - TRANSPOSE(样本表[标准差指数(SDI)]))) &gt; 3</f>
        <v>0</v>
      </c>
      <c r="F17" s="43" t="str">
        <f>IF(E17,"违反本规则，提示存在随机误差","未违反本规则")</f>
        <v>未违反本规则</v>
      </c>
      <c r="G17" s="43"/>
    </row>
  </sheetData>
  <protectedRanges>
    <protectedRange sqref="H7:L10 J11:R17 A1:D2 A4:D10 G18:O1048576 A16:B17 C15:D17 B15" name="区域1_3"/>
  </protectedRanges>
  <mergeCells count="14">
    <mergeCell ref="B17:D17"/>
    <mergeCell ref="B11:D11"/>
    <mergeCell ref="B12:D12"/>
    <mergeCell ref="B13:D13"/>
    <mergeCell ref="B14:D14"/>
    <mergeCell ref="B15:D15"/>
    <mergeCell ref="B16:D16"/>
    <mergeCell ref="F17:G17"/>
    <mergeCell ref="F11:G11"/>
    <mergeCell ref="F12:G12"/>
    <mergeCell ref="F13:G13"/>
    <mergeCell ref="F14:G14"/>
    <mergeCell ref="F15:G15"/>
    <mergeCell ref="F16:G16"/>
  </mergeCells>
  <phoneticPr fontId="1" type="noConversion"/>
  <conditionalFormatting sqref="F12:F17">
    <cfRule type="cellIs" dxfId="28" priority="3" operator="equal">
      <formula>"未违反本规则"</formula>
    </cfRule>
  </conditionalFormatting>
  <pageMargins left="0.7" right="0.7" top="0.75" bottom="0.75" header="0.3" footer="0.3"/>
  <pageSetup paperSize="9" orientation="landscape" horizontalDpi="1200" verticalDpi="1200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" operator="beginsWith" id="{9DD21A09-C76A-433A-817D-76FCF0834E30}">
            <xm:f>LEFT(F12,LEN("违反本规则"))="违反本规则"</xm:f>
            <xm:f>"违反本规则"</xm:f>
            <x14:dxf>
              <font>
                <color rgb="FF9C0006"/>
              </font>
              <fill>
                <patternFill>
                  <fgColor auto="1"/>
                  <bgColor rgb="FFFFFF00"/>
                </patternFill>
              </fill>
            </x14:dxf>
          </x14:cfRule>
          <xm:sqref>F12:F17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F5A2-E196-4418-B3BC-564217BB3BC0}">
  <dimension ref="A1:G17"/>
  <sheetViews>
    <sheetView showGridLines="0" zoomScaleNormal="100" workbookViewId="0"/>
  </sheetViews>
  <sheetFormatPr defaultColWidth="18.125" defaultRowHeight="32.1" customHeight="1"/>
  <cols>
    <col min="1" max="16384" width="18.125" style="38"/>
  </cols>
  <sheetData>
    <row r="1" spans="1:7" s="22" customFormat="1" ht="32.1" customHeight="1">
      <c r="A1" s="17" t="s">
        <v>973</v>
      </c>
      <c r="B1" s="18" t="s">
        <v>952</v>
      </c>
      <c r="C1" s="16" t="s">
        <v>975</v>
      </c>
      <c r="D1" s="16" t="s">
        <v>954</v>
      </c>
      <c r="E1" s="19" t="s">
        <v>972</v>
      </c>
      <c r="F1" s="20" t="s">
        <v>948</v>
      </c>
      <c r="G1" s="21" t="s">
        <v>949</v>
      </c>
    </row>
    <row r="2" spans="1:7" s="22" customFormat="1" ht="32.1" customHeight="1">
      <c r="A2" s="23"/>
      <c r="B2" s="24"/>
      <c r="C2" s="25"/>
      <c r="D2" s="25"/>
      <c r="E2" s="26" t="e">
        <f>ABS(AVERAGE(样本表_3[标准差指数(SDI)]))</f>
        <v>#DIV/0!</v>
      </c>
      <c r="F2" s="27" cm="1">
        <f t="array" ref="F2">项目表_2[允许总误差(TEa)(%)]*0.75</f>
        <v>0</v>
      </c>
      <c r="G2" s="28" cm="1">
        <f t="array" ref="G2">项目表_2[允许总误差(TEa)(%)]*0.5</f>
        <v>0</v>
      </c>
    </row>
    <row r="3" spans="1:7" s="22" customFormat="1" ht="32.1" customHeight="1"/>
    <row r="4" spans="1:7" s="22" customFormat="1" ht="32.1" customHeight="1">
      <c r="A4" s="18" t="s">
        <v>0</v>
      </c>
      <c r="B4" s="16" t="s">
        <v>945</v>
      </c>
      <c r="C4" s="16" t="s">
        <v>971</v>
      </c>
      <c r="D4" s="16" t="s">
        <v>946</v>
      </c>
      <c r="E4" s="20" t="s">
        <v>2</v>
      </c>
      <c r="F4" s="21" t="s">
        <v>947</v>
      </c>
      <c r="G4" s="20" t="s">
        <v>951</v>
      </c>
    </row>
    <row r="5" spans="1:7" s="22" customFormat="1" ht="32.1" customHeight="1">
      <c r="A5" s="25"/>
      <c r="B5" s="25"/>
      <c r="C5" s="25"/>
      <c r="D5" s="25"/>
      <c r="E5" s="31" t="e">
        <f>(样本表_3[[#This Row],[本室测定值]]-样本表_3[[#This Row],[同组均值或中位数]])/样本表_3[[#This Row],[同组均值或中位数]]*100</f>
        <v>#DIV/0!</v>
      </c>
      <c r="F5" s="32" t="e">
        <f>(样本表_3[[#This Row],[本室测定值]]-样本表_3[[#This Row],[同组均值或中位数]])/样本表_3[[#This Row],[同组标准差]]</f>
        <v>#DIV/0!</v>
      </c>
      <c r="G5" s="31" t="e">
        <f>ABS(样本表_3[[#This Row],[标准差指数(SDI)]])</f>
        <v>#DIV/0!</v>
      </c>
    </row>
    <row r="6" spans="1:7" s="22" customFormat="1" ht="32.1" customHeight="1">
      <c r="A6" s="25"/>
      <c r="B6" s="25"/>
      <c r="C6" s="25"/>
      <c r="D6" s="25"/>
      <c r="E6" s="33" t="e">
        <f>(样本表_3[[#This Row],[本室测定值]]-样本表_3[[#This Row],[同组均值或中位数]])/样本表_3[[#This Row],[同组均值或中位数]]*100</f>
        <v>#DIV/0!</v>
      </c>
      <c r="F6" s="32" t="e">
        <f>(样本表_3[[#This Row],[本室测定值]]-样本表_3[[#This Row],[同组均值或中位数]])/样本表_3[[#This Row],[同组标准差]]</f>
        <v>#DIV/0!</v>
      </c>
      <c r="G6" s="31" t="e">
        <f>ABS(样本表_3[[#This Row],[标准差指数(SDI)]])</f>
        <v>#DIV/0!</v>
      </c>
    </row>
    <row r="7" spans="1:7" s="22" customFormat="1" ht="32.1" customHeight="1">
      <c r="A7" s="25"/>
      <c r="B7" s="25"/>
      <c r="C7" s="25"/>
      <c r="D7" s="25"/>
      <c r="E7" s="33" t="e">
        <f>(样本表_3[[#This Row],[本室测定值]]-样本表_3[[#This Row],[同组均值或中位数]])/样本表_3[[#This Row],[同组均值或中位数]]*100</f>
        <v>#DIV/0!</v>
      </c>
      <c r="F7" s="32" t="e">
        <f>(样本表_3[[#This Row],[本室测定值]]-样本表_3[[#This Row],[同组均值或中位数]])/样本表_3[[#This Row],[同组标准差]]</f>
        <v>#DIV/0!</v>
      </c>
      <c r="G7" s="31" t="e">
        <f>ABS(样本表_3[[#This Row],[标准差指数(SDI)]])</f>
        <v>#DIV/0!</v>
      </c>
    </row>
    <row r="8" spans="1:7" s="22" customFormat="1" ht="32.1" customHeight="1">
      <c r="A8" s="25"/>
      <c r="B8" s="25"/>
      <c r="C8" s="25"/>
      <c r="D8" s="25"/>
      <c r="E8" s="33" t="e">
        <f>(样本表_3[[#This Row],[本室测定值]]-样本表_3[[#This Row],[同组均值或中位数]])/样本表_3[[#This Row],[同组均值或中位数]]*100</f>
        <v>#DIV/0!</v>
      </c>
      <c r="F8" s="32" t="e">
        <f>(样本表_3[[#This Row],[本室测定值]]-样本表_3[[#This Row],[同组均值或中位数]])/样本表_3[[#This Row],[同组标准差]]</f>
        <v>#DIV/0!</v>
      </c>
      <c r="G8" s="31" t="e">
        <f>ABS(样本表_3[[#This Row],[标准差指数(SDI)]])</f>
        <v>#DIV/0!</v>
      </c>
    </row>
    <row r="9" spans="1:7" s="22" customFormat="1" ht="32.1" customHeight="1">
      <c r="A9" s="25"/>
      <c r="B9" s="25"/>
      <c r="C9" s="25"/>
      <c r="D9" s="25"/>
      <c r="E9" s="27" t="e">
        <f>(样本表_3[[#This Row],[本室测定值]]-样本表_3[[#This Row],[同组均值或中位数]])/样本表_3[[#This Row],[同组均值或中位数]]*100</f>
        <v>#DIV/0!</v>
      </c>
      <c r="F9" s="28" t="e">
        <f>(样本表_3[[#This Row],[本室测定值]]-样本表_3[[#This Row],[同组均值或中位数]])/样本表_3[[#This Row],[同组标准差]]</f>
        <v>#DIV/0!</v>
      </c>
      <c r="G9" s="31" t="e">
        <f>ABS(样本表_3[[#This Row],[标准差指数(SDI)]])</f>
        <v>#DIV/0!</v>
      </c>
    </row>
    <row r="10" spans="1:7" s="22" customFormat="1" ht="32.1" customHeight="1">
      <c r="B10" s="35"/>
      <c r="C10" s="35"/>
      <c r="D10" s="35"/>
      <c r="E10" s="36"/>
      <c r="F10" s="36"/>
      <c r="G10" s="36"/>
    </row>
    <row r="11" spans="1:7" ht="32.1" customHeight="1">
      <c r="A11" s="37" t="s">
        <v>955</v>
      </c>
      <c r="B11" s="48" t="s">
        <v>969</v>
      </c>
      <c r="C11" s="49"/>
      <c r="D11" s="50"/>
      <c r="E11" s="37" t="s">
        <v>956</v>
      </c>
      <c r="F11" s="44" t="s">
        <v>957</v>
      </c>
      <c r="G11" s="44"/>
    </row>
    <row r="12" spans="1:7" ht="32.1" customHeight="1">
      <c r="A12" s="39" t="s">
        <v>958</v>
      </c>
      <c r="B12" s="45" t="s">
        <v>964</v>
      </c>
      <c r="C12" s="46"/>
      <c r="D12" s="47"/>
      <c r="E12" s="40" t="e" cm="1">
        <f t="array" ref="E12">计算表_4[平均SDI的绝对值]&gt;1.5</f>
        <v>#DIV/0!</v>
      </c>
      <c r="F12" s="43" t="e">
        <f>IF(E12,"违反本规则，提示存在系统误差","未违反本规则")</f>
        <v>#DIV/0!</v>
      </c>
      <c r="G12" s="43"/>
    </row>
    <row r="13" spans="1:7" ht="32.1" customHeight="1">
      <c r="A13" s="41" t="s">
        <v>959</v>
      </c>
      <c r="B13" s="45" t="s">
        <v>965</v>
      </c>
      <c r="C13" s="46"/>
      <c r="D13" s="47"/>
      <c r="E13" s="40" t="e" cm="1">
        <f t="array" ref="E13">MAX(ABS(样本表_3[SDI绝对值] - TRANSPOSE(样本表_3[SDI绝对值]))) &gt; 4</f>
        <v>#DIV/0!</v>
      </c>
      <c r="F13" s="43" t="e">
        <f>IF(E13,"违反本规则，提示存在随机误差","未违反本规则")</f>
        <v>#DIV/0!</v>
      </c>
      <c r="G13" s="43"/>
    </row>
    <row r="14" spans="1:7" ht="32.1" customHeight="1">
      <c r="A14" s="41" t="s">
        <v>960</v>
      </c>
      <c r="B14" s="45" t="s">
        <v>963</v>
      </c>
      <c r="C14" s="46"/>
      <c r="D14" s="47"/>
      <c r="E14" s="40" t="e" cm="1">
        <f t="array" ref="E14">SUMPRODUCT(--(ABS(样本表_3[相对偏倚(%)])&gt;计算表_4[75%TEa]))&gt;0</f>
        <v>#DIV/0!</v>
      </c>
      <c r="F14" s="43" t="e">
        <f>IF(E14,"违反本规则，不能确定存在系统误差或随机误差","未违反本规则")</f>
        <v>#DIV/0!</v>
      </c>
      <c r="G14" s="43"/>
    </row>
    <row r="15" spans="1:7" ht="32.1" customHeight="1">
      <c r="A15" s="42" t="s">
        <v>970</v>
      </c>
      <c r="B15" s="45" t="s">
        <v>966</v>
      </c>
      <c r="C15" s="46"/>
      <c r="D15" s="47"/>
      <c r="E15" s="40" t="e" cm="1">
        <f t="array" ref="E15">AND(OR(MIN(样本表_3[相对偏倚(%)])&gt;0,MAX(样本表_3[相对偏倚(%)])&lt;0),MAX(ABS(样本表_3[相对偏倚(%)]))&gt;计算表_4[50%TEa])</f>
        <v>#DIV/0!</v>
      </c>
      <c r="F15" s="43" t="e">
        <f>IF(E15,"违反本规则，提示存在系统误差","未违反本规则")</f>
        <v>#DIV/0!</v>
      </c>
      <c r="G15" s="43"/>
    </row>
    <row r="16" spans="1:7" ht="32.1" customHeight="1">
      <c r="A16" s="41" t="s">
        <v>961</v>
      </c>
      <c r="B16" s="45" t="s">
        <v>967</v>
      </c>
      <c r="C16" s="46"/>
      <c r="D16" s="47"/>
      <c r="E16" s="40" t="e" cm="1">
        <f t="array" ref="E16">计算表_4[平均SDI的绝对值]&gt;1</f>
        <v>#DIV/0!</v>
      </c>
      <c r="F16" s="43" t="e">
        <f>IF(E16,"违反本规则，提示存在系统误差","未违反本规则")</f>
        <v>#DIV/0!</v>
      </c>
      <c r="G16" s="43"/>
    </row>
    <row r="17" spans="1:7" ht="32.1" customHeight="1">
      <c r="A17" s="41" t="s">
        <v>962</v>
      </c>
      <c r="B17" s="45" t="s">
        <v>968</v>
      </c>
      <c r="C17" s="46"/>
      <c r="D17" s="47"/>
      <c r="E17" s="40" t="e" cm="1">
        <f t="array" ref="E17">MAX(ABS(样本表_3[标准差指数(SDI)] - TRANSPOSE(样本表_3[标准差指数(SDI)]))) &gt; 3</f>
        <v>#DIV/0!</v>
      </c>
      <c r="F17" s="43" t="e">
        <f>IF(E17,"违反本规则，提示存在随机误差","未违反本规则")</f>
        <v>#DIV/0!</v>
      </c>
      <c r="G17" s="43"/>
    </row>
  </sheetData>
  <protectedRanges>
    <protectedRange sqref="H7:L10 J11:R17 A1:D2 A4:D10 G18:O1048576 A16:B17 C15:D17 B15" name="区域1_3"/>
  </protectedRanges>
  <mergeCells count="14">
    <mergeCell ref="B11:D11"/>
    <mergeCell ref="F11:G11"/>
    <mergeCell ref="B12:D12"/>
    <mergeCell ref="F12:G12"/>
    <mergeCell ref="B13:D13"/>
    <mergeCell ref="F13:G13"/>
    <mergeCell ref="B17:D17"/>
    <mergeCell ref="F17:G17"/>
    <mergeCell ref="B14:D14"/>
    <mergeCell ref="F14:G14"/>
    <mergeCell ref="B15:D15"/>
    <mergeCell ref="F15:G15"/>
    <mergeCell ref="B16:D16"/>
    <mergeCell ref="F16:G16"/>
  </mergeCells>
  <phoneticPr fontId="1" type="noConversion"/>
  <conditionalFormatting sqref="F12:F17">
    <cfRule type="cellIs" dxfId="26" priority="5" operator="equal">
      <formula>"未违反本规则"</formula>
    </cfRule>
  </conditionalFormatting>
  <pageMargins left="0.7" right="0.7" top="0.75" bottom="0.75" header="0.3" footer="0.3"/>
  <pageSetup paperSize="9" orientation="landscape" horizontalDpi="1200" verticalDpi="1200"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4" operator="beginsWith" id="{FF645FCF-AFDD-4479-BE7E-DEDBD8F3BB13}">
            <xm:f>LEFT(F12,LEN("违反本规则"))="违反本规则"</xm:f>
            <xm:f>"违反本规则"</xm:f>
            <x14:dxf>
              <font>
                <color rgb="FF9C0006"/>
              </font>
              <fill>
                <patternFill>
                  <fgColor auto="1"/>
                  <bgColor rgb="FFFFFF00"/>
                </patternFill>
              </fill>
            </x14:dxf>
          </x14:cfRule>
          <xm:sqref>F12:F17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专业</vt:lpstr>
      <vt:lpstr>项目</vt:lpstr>
      <vt:lpstr>示例</vt:lpstr>
      <vt:lpstr>项目名称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2025-11-08T03:33:43Z</cp:lastPrinted>
  <dcterms:created xsi:type="dcterms:W3CDTF">2015-06-05T18:19:34Z</dcterms:created>
  <dcterms:modified xsi:type="dcterms:W3CDTF">2025-11-08T03:34:02Z</dcterms:modified>
</cp:coreProperties>
</file>